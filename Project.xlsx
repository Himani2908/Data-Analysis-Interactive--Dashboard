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rjun Singh\Downloads\"/>
    </mc:Choice>
  </mc:AlternateContent>
  <bookViews>
    <workbookView xWindow="0" yWindow="0" windowWidth="20490" windowHeight="7620"/>
  </bookViews>
  <sheets>
    <sheet name="Dashboard" sheetId="3" r:id="rId1"/>
    <sheet name="Daily ER no. of Pateint" sheetId="4" r:id="rId2"/>
    <sheet name="Average Wait Time" sheetId="5" r:id="rId3"/>
    <sheet name="Patient Satisfaction Score" sheetId="6" r:id="rId4"/>
    <sheet name="Sheet1" sheetId="7" state="hidden" r:id="rId5"/>
    <sheet name="Pivot Table" sheetId="2" r:id="rId6"/>
  </sheets>
  <definedNames>
    <definedName name="ExternalData_1" localSheetId="4" hidden="1">Sheet1!$A$3:$M$132</definedName>
    <definedName name="Slicer_Date__Month">#N/A</definedName>
    <definedName name="Slicer_Date__Year">#N/A</definedName>
  </definedNames>
  <calcPr calcId="162913"/>
  <pivotCaches>
    <pivotCache cacheId="987" r:id="rId7"/>
    <pivotCache cacheId="990" r:id="rId8"/>
    <pivotCache cacheId="993" r:id="rId9"/>
    <pivotCache cacheId="996" r:id="rId10"/>
    <pivotCache cacheId="999" r:id="rId11"/>
    <pivotCache cacheId="1002" r:id="rId12"/>
    <pivotCache cacheId="1005" r:id="rId13"/>
    <pivotCache cacheId="1008" r:id="rId14"/>
    <pivotCache cacheId="1011" r:id="rId15"/>
    <pivotCache cacheId="1014" r:id="rId16"/>
    <pivotCache cacheId="1017" r:id="rId17"/>
    <pivotCache cacheId="1020" r:id="rId18"/>
  </pivotCaches>
  <extLst>
    <ext xmlns:x14="http://schemas.microsoft.com/office/spreadsheetml/2009/9/main" uri="{876F7934-8845-4945-9796-88D515C7AA90}">
      <x14:pivotCaches>
        <pivotCache cacheId="59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lender_Table_6edb8d1a-5283-4bed-92e9-af7c784d2f73" name="Calender_Table" connection="Query - Calender_Table"/>
          <x15:modelTable id="Hospital Emergency Room Data_e83fa954-b6b1-401a-8ec4-9f123bfff07e" name="Hospital Emergency Room Data" connection="Query - Hospital Emergency Room Data"/>
        </x15:modelTables>
        <x15:modelRelationships>
          <x15:modelRelationship fromTable="Hospital Emergency Room Data" fromColumn="Patient Admission Date.1.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7" i="2" l="1"/>
  <c r="C46" i="2"/>
  <c r="B47" i="2"/>
  <c r="A47" i="2"/>
  <c r="B46" i="2"/>
  <c r="A46" i="2"/>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Calender_Table].[Date (Month)].&amp;[Apr],[Measures].[Count of Age Group],[Hospital Emergency Room Data].[Age Group].&amp;[0-9])) RETURN [$Hospital Emergency Room Data].[Patient Id],[$Hospital Emergency Room Data].[Patient Admission Date.1.1],[$Hospital Emergency Room Data].[Patient Admission Date.2],[$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name="Query - Calender_Table" description="Connection to the 'Calender_Table' query in the workbook." type="100" refreshedVersion="6" minRefreshableVersion="5">
    <extLst>
      <ext xmlns:x15="http://schemas.microsoft.com/office/spreadsheetml/2010/11/main" uri="{DE250136-89BD-433C-8126-D09CA5730AF9}">
        <x15:connection id="a63c72da-0970-4199-998b-c04dafbc580a">
          <x15:oledbPr connection="Provider=Microsoft.Mashup.OleDb.1;Data Source=$Workbook$;Location=Calender_Table;Extended Properties=&quot;&quot;">
            <x15:dbTables>
              <x15:dbTable name="Calender_Table"/>
            </x15:dbTables>
          </x15:oledbPr>
        </x15:connection>
      </ext>
    </extLst>
  </connection>
  <connection id="3"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a6b2a4f8-6bcd-4228-84f1-01011a3d9f02"/>
      </ext>
    </extLst>
  </connection>
  <connection id="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<sst xmlns="http://schemas.openxmlformats.org/spreadsheetml/2006/main" count="1199" uniqueCount="351">
  <si>
    <t>Distinct Count of Patient Id</t>
  </si>
  <si>
    <t>No. of Patient</t>
  </si>
  <si>
    <t>Average of Patient Waittime</t>
  </si>
  <si>
    <t>Average of Patient Satisfaction Score</t>
  </si>
  <si>
    <t>Row Labels</t>
  </si>
  <si>
    <t>Grand Total</t>
  </si>
  <si>
    <t>Count of Patient Id</t>
  </si>
  <si>
    <t>Showing a daily trend with an area sparkline to spot patterns like busy days or seasonal trends</t>
  </si>
  <si>
    <t>Daily changes and highlights  days with longer  wait  times that might  need improvements</t>
  </si>
  <si>
    <t>Show trends, spot drops in satisfaction, and link  them to busy times or challenges</t>
  </si>
  <si>
    <t>Count of Patient Admission Flag</t>
  </si>
  <si>
    <t>Admitted</t>
  </si>
  <si>
    <t>Not Admitted</t>
  </si>
  <si>
    <t>Count of Patient Admission Flag2</t>
  </si>
  <si>
    <t>Admission Status</t>
  </si>
  <si>
    <t>% Status</t>
  </si>
  <si>
    <t>0-9</t>
  </si>
  <si>
    <t>10-19</t>
  </si>
  <si>
    <t>20-29</t>
  </si>
  <si>
    <t>30-39</t>
  </si>
  <si>
    <t>40-49</t>
  </si>
  <si>
    <t>50-59</t>
  </si>
  <si>
    <t>60-69</t>
  </si>
  <si>
    <t>70-79</t>
  </si>
  <si>
    <t>Count of Age Group</t>
  </si>
  <si>
    <t>Hospital Emergency Room Data[Patient Id]</t>
  </si>
  <si>
    <t>Hospital Emergency Room Data[Patient Admission Date.1.1]</t>
  </si>
  <si>
    <t>Hospital Emergency Room Data[Patient Admission Date.2]</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</si>
  <si>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</si>
  <si>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</si>
  <si>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</si>
  <si>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</si>
  <si>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</si>
  <si>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</si>
  <si>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</si>
  <si>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</si>
  <si>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</si>
  <si>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</si>
  <si>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527-01-5968</t>
  </si>
  <si>
    <t>O. Stryde</t>
  </si>
  <si>
    <t>Male</t>
  </si>
  <si>
    <t>White</t>
  </si>
  <si>
    <t>None</t>
  </si>
  <si>
    <t>Delay</t>
  </si>
  <si>
    <t>170-53-5117</t>
  </si>
  <si>
    <t>O. Wenzel</t>
  </si>
  <si>
    <t>401-21-8466</t>
  </si>
  <si>
    <t>M. Shimuk</t>
  </si>
  <si>
    <t>Female</t>
  </si>
  <si>
    <t>442-41-7832</t>
  </si>
  <si>
    <t>A. Nesey</t>
  </si>
  <si>
    <t>On Time</t>
  </si>
  <si>
    <t>566-74-1481</t>
  </si>
  <si>
    <t>V. Clare</t>
  </si>
  <si>
    <t>242-37-3166</t>
  </si>
  <si>
    <t>H. Shorto</t>
  </si>
  <si>
    <t>636-89-0732</t>
  </si>
  <si>
    <t>C. Brimacombe</t>
  </si>
  <si>
    <t>African American</t>
  </si>
  <si>
    <t>890-17-4503</t>
  </si>
  <si>
    <t>Q. Kinsley</t>
  </si>
  <si>
    <t>683-61-8328</t>
  </si>
  <si>
    <t>O. Crichley</t>
  </si>
  <si>
    <t>870-50-4955</t>
  </si>
  <si>
    <t>Q. Eastlake</t>
  </si>
  <si>
    <t>Two or More Races</t>
  </si>
  <si>
    <t>790-80-4467</t>
  </si>
  <si>
    <t>J. Kingsnoad</t>
  </si>
  <si>
    <t>663-19-4215</t>
  </si>
  <si>
    <t>X. Hardwin</t>
  </si>
  <si>
    <t>Native American/Alaska Native</t>
  </si>
  <si>
    <t>427-24-2579</t>
  </si>
  <si>
    <t>M. Prewett</t>
  </si>
  <si>
    <t>Pacific Islander</t>
  </si>
  <si>
    <t>536-06-9507</t>
  </si>
  <si>
    <t>K. Kezar</t>
  </si>
  <si>
    <t>319-73-3636</t>
  </si>
  <si>
    <t>L. Oldcroft</t>
  </si>
  <si>
    <t>Declined to Identify</t>
  </si>
  <si>
    <t>787-80-4731</t>
  </si>
  <si>
    <t>F. Antonucci</t>
  </si>
  <si>
    <t>883-52-8117</t>
  </si>
  <si>
    <t>P. Blasio</t>
  </si>
  <si>
    <t>Asian</t>
  </si>
  <si>
    <t>380-93-9949</t>
  </si>
  <si>
    <t>A. Dorie</t>
  </si>
  <si>
    <t>863-35-4422</t>
  </si>
  <si>
    <t>E. Grzes</t>
  </si>
  <si>
    <t>476-34-0359</t>
  </si>
  <si>
    <t>L. Wilshaw</t>
  </si>
  <si>
    <t>General Practice</t>
  </si>
  <si>
    <t>430-78-4586</t>
  </si>
  <si>
    <t>Q. Lamputt</t>
  </si>
  <si>
    <t>385-83-1337</t>
  </si>
  <si>
    <t>A. Simoni</t>
  </si>
  <si>
    <t>587-82-5849</t>
  </si>
  <si>
    <t>G. Bierling</t>
  </si>
  <si>
    <t>877-20-8814</t>
  </si>
  <si>
    <t>N. Miroy</t>
  </si>
  <si>
    <t>615-59-2575</t>
  </si>
  <si>
    <t>D. Haselhurst</t>
  </si>
  <si>
    <t>513-78-9014</t>
  </si>
  <si>
    <t>Y. Clapshaw</t>
  </si>
  <si>
    <t>Orthopedics</t>
  </si>
  <si>
    <t>593-93-2765</t>
  </si>
  <si>
    <t>E. Le Huquet</t>
  </si>
  <si>
    <t>125-12-2869</t>
  </si>
  <si>
    <t>Y. Dowbakin</t>
  </si>
  <si>
    <t>392-87-5203</t>
  </si>
  <si>
    <t>B. Duham</t>
  </si>
  <si>
    <t>386-33-3422</t>
  </si>
  <si>
    <t>G. Kemball</t>
  </si>
  <si>
    <t>680-97-7540</t>
  </si>
  <si>
    <t>J. Ost</t>
  </si>
  <si>
    <t>749-62-2279</t>
  </si>
  <si>
    <t>P. Gerhold</t>
  </si>
  <si>
    <t>258-20-1592</t>
  </si>
  <si>
    <t>M. de Bullion</t>
  </si>
  <si>
    <t>Physiotherapy</t>
  </si>
  <si>
    <t>388-07-6238</t>
  </si>
  <si>
    <t>B. Beaver</t>
  </si>
  <si>
    <t>Gastroenterology</t>
  </si>
  <si>
    <t>196-41-1005</t>
  </si>
  <si>
    <t>X. Battin</t>
  </si>
  <si>
    <t>Renal</t>
  </si>
  <si>
    <t>859-35-4402</t>
  </si>
  <si>
    <t>H. Wyburn</t>
  </si>
  <si>
    <t>496-71-2879</t>
  </si>
  <si>
    <t>J. Braham</t>
  </si>
  <si>
    <t>111-36-1435</t>
  </si>
  <si>
    <t>V. Giorgietto</t>
  </si>
  <si>
    <t>702-47-3618</t>
  </si>
  <si>
    <t>W. Keppie</t>
  </si>
  <si>
    <t>857-68-5135</t>
  </si>
  <si>
    <t>C. Scott</t>
  </si>
  <si>
    <t>489-73-9085</t>
  </si>
  <si>
    <t>G. Hattersley</t>
  </si>
  <si>
    <t>494-35-2410</t>
  </si>
  <si>
    <t>O. Mercy</t>
  </si>
  <si>
    <t>355-52-8969</t>
  </si>
  <si>
    <t>S. Jaquest</t>
  </si>
  <si>
    <t>Neurology</t>
  </si>
  <si>
    <t>613-57-6485</t>
  </si>
  <si>
    <t>U. Dadswell</t>
  </si>
  <si>
    <t>299-32-9018</t>
  </si>
  <si>
    <t>R. Kerins</t>
  </si>
  <si>
    <t>526-81-5714</t>
  </si>
  <si>
    <t>F. Congrave</t>
  </si>
  <si>
    <t>Cardiology</t>
  </si>
  <si>
    <t>889-96-0276</t>
  </si>
  <si>
    <t>Q. Purseglove</t>
  </si>
  <si>
    <t>639-72-8897</t>
  </si>
  <si>
    <t>Q. Haslum</t>
  </si>
  <si>
    <t>619-17-4772</t>
  </si>
  <si>
    <t>C. O' Timony</t>
  </si>
  <si>
    <t>642-24-9833</t>
  </si>
  <si>
    <t>J. Muttitt</t>
  </si>
  <si>
    <t>799-44-2163</t>
  </si>
  <si>
    <t>Z. Taber</t>
  </si>
  <si>
    <t>413-42-2249</t>
  </si>
  <si>
    <t>C. Fruser</t>
  </si>
  <si>
    <t>574-27-8945</t>
  </si>
  <si>
    <t>X. Presidey</t>
  </si>
  <si>
    <t>373-25-1214</t>
  </si>
  <si>
    <t>C. Boggis</t>
  </si>
  <si>
    <t>261-68-3689</t>
  </si>
  <si>
    <t>Q. Hedditeh</t>
  </si>
  <si>
    <t>171-02-6921</t>
  </si>
  <si>
    <t>S. Eustanch</t>
  </si>
  <si>
    <t>891-13-0532</t>
  </si>
  <si>
    <t>Z. Dayes</t>
  </si>
  <si>
    <t>443-36-2330</t>
  </si>
  <si>
    <t>J. Ballin</t>
  </si>
  <si>
    <t>265-01-7218</t>
  </si>
  <si>
    <t>K. MacAdam</t>
  </si>
  <si>
    <t>851-85-8318</t>
  </si>
  <si>
    <t>G. D'Ruel</t>
  </si>
  <si>
    <t>249-19-1543</t>
  </si>
  <si>
    <t>P. Dunnet</t>
  </si>
  <si>
    <t>270-14-4609</t>
  </si>
  <si>
    <t>T. Eldred</t>
  </si>
  <si>
    <t>763-23-4635</t>
  </si>
  <si>
    <t>Q. Occleshaw</t>
  </si>
  <si>
    <t>676-47-0405</t>
  </si>
  <si>
    <t>R. Gianilli</t>
  </si>
  <si>
    <t>660-57-0260</t>
  </si>
  <si>
    <t>A. Douthwaite</t>
  </si>
  <si>
    <t>547-68-7669</t>
  </si>
  <si>
    <t>Y. Hurn</t>
  </si>
  <si>
    <t>846-40-7635</t>
  </si>
  <si>
    <t>K. Fern</t>
  </si>
  <si>
    <t>729-10-9426</t>
  </si>
  <si>
    <t>Z. Brotherhed</t>
  </si>
  <si>
    <t>501-69-9067</t>
  </si>
  <si>
    <t>M. Davidoff</t>
  </si>
  <si>
    <t>142-78-0838</t>
  </si>
  <si>
    <t>L. Mattusov</t>
  </si>
  <si>
    <t>142-10-3821</t>
  </si>
  <si>
    <t>U. Oxenham</t>
  </si>
  <si>
    <t>246-59-3959</t>
  </si>
  <si>
    <t>R. Pierce</t>
  </si>
  <si>
    <t>530-81-5765</t>
  </si>
  <si>
    <t>D. Labadini</t>
  </si>
  <si>
    <t>756-97-8919</t>
  </si>
  <si>
    <t>O. Cornuau</t>
  </si>
  <si>
    <t>148-59-4378</t>
  </si>
  <si>
    <t>J. Hullett</t>
  </si>
  <si>
    <t>246-11-7277</t>
  </si>
  <si>
    <t>F. Petkov</t>
  </si>
  <si>
    <t>790-40-1327</t>
  </si>
  <si>
    <t>S. Danshin</t>
  </si>
  <si>
    <t>366-62-0579</t>
  </si>
  <si>
    <t>B. Batey</t>
  </si>
  <si>
    <t>304-13-0114</t>
  </si>
  <si>
    <t>Z. Patrickson</t>
  </si>
  <si>
    <t>649-31-5134</t>
  </si>
  <si>
    <t>C. Stoggell</t>
  </si>
  <si>
    <t>484-45-3732</t>
  </si>
  <si>
    <t>T. Ondrasek</t>
  </si>
  <si>
    <t>424-56-1864</t>
  </si>
  <si>
    <t>F. Blind</t>
  </si>
  <si>
    <t>877-36-1240</t>
  </si>
  <si>
    <t>L. Shulver</t>
  </si>
  <si>
    <t>674-41-4544</t>
  </si>
  <si>
    <t>N. Betho</t>
  </si>
  <si>
    <t>822-92-9656</t>
  </si>
  <si>
    <t>U. Pendell</t>
  </si>
  <si>
    <t>669-63-9052</t>
  </si>
  <si>
    <t>I. Shoebridge</t>
  </si>
  <si>
    <t>508-96-3583</t>
  </si>
  <si>
    <t>G. Varnham</t>
  </si>
  <si>
    <t>369-83-2373</t>
  </si>
  <si>
    <t>F. Pointing</t>
  </si>
  <si>
    <t>749-39-3053</t>
  </si>
  <si>
    <t>Y. Minchella</t>
  </si>
  <si>
    <t>870-63-4486</t>
  </si>
  <si>
    <t>X. Fanti</t>
  </si>
  <si>
    <t>143-22-5332</t>
  </si>
  <si>
    <t>M. Watt</t>
  </si>
  <si>
    <t>807-21-6712</t>
  </si>
  <si>
    <t>H. Matuszynski</t>
  </si>
  <si>
    <t>170-64-9353</t>
  </si>
  <si>
    <t>W. Emanueli</t>
  </si>
  <si>
    <t>599-32-7694</t>
  </si>
  <si>
    <t>Q. Boothroyd</t>
  </si>
  <si>
    <t>273-87-9584</t>
  </si>
  <si>
    <t>L. Storch</t>
  </si>
  <si>
    <t>685-11-0667</t>
  </si>
  <si>
    <t>I. Lohden</t>
  </si>
  <si>
    <t>189-34-0360</t>
  </si>
  <si>
    <t>E. Guyton</t>
  </si>
  <si>
    <t>222-02-0601</t>
  </si>
  <si>
    <t>C. Colquit</t>
  </si>
  <si>
    <t>748-19-0239</t>
  </si>
  <si>
    <t>M. Lared</t>
  </si>
  <si>
    <t>589-77-8568</t>
  </si>
  <si>
    <t>L. Posthill</t>
  </si>
  <si>
    <t>359-70-0645</t>
  </si>
  <si>
    <t>E. Morena</t>
  </si>
  <si>
    <t>687-92-4881</t>
  </si>
  <si>
    <t>O. Morant</t>
  </si>
  <si>
    <t>424-85-2084</t>
  </si>
  <si>
    <t>K. Sire</t>
  </si>
  <si>
    <t>203-87-2918</t>
  </si>
  <si>
    <t>I. Betonia</t>
  </si>
  <si>
    <t>441-68-9259</t>
  </si>
  <si>
    <t>R. Djurkovic</t>
  </si>
  <si>
    <t>549-67-9921</t>
  </si>
  <si>
    <t>X. Hewson</t>
  </si>
  <si>
    <t>722-05-8745</t>
  </si>
  <si>
    <t>V. Baggaley</t>
  </si>
  <si>
    <t>614-27-2796</t>
  </si>
  <si>
    <t>S. Sango</t>
  </si>
  <si>
    <t>592-07-8966</t>
  </si>
  <si>
    <t>K. Antonietti</t>
  </si>
  <si>
    <t>207-74-6194</t>
  </si>
  <si>
    <t>B. Sloss</t>
  </si>
  <si>
    <t>207-23-0750</t>
  </si>
  <si>
    <t>B. Grevile</t>
  </si>
  <si>
    <t>607-36-7676</t>
  </si>
  <si>
    <t>U. Leall</t>
  </si>
  <si>
    <t>105-08-6438</t>
  </si>
  <si>
    <t>J. Baumer</t>
  </si>
  <si>
    <t>269-27-0398</t>
  </si>
  <si>
    <t>Z. MacPike</t>
  </si>
  <si>
    <t>357-93-7216</t>
  </si>
  <si>
    <t>T. Fields</t>
  </si>
  <si>
    <t>405-62-2584</t>
  </si>
  <si>
    <t>S. Hedge</t>
  </si>
  <si>
    <t>545-72-4306</t>
  </si>
  <si>
    <t>M. Skaid</t>
  </si>
  <si>
    <t>153-06-0149</t>
  </si>
  <si>
    <t>I. Thominga</t>
  </si>
  <si>
    <t>115-71-1308</t>
  </si>
  <si>
    <t>A. Jeggo</t>
  </si>
  <si>
    <t>140-46-8836</t>
  </si>
  <si>
    <t>X. Lohmeyer</t>
  </si>
  <si>
    <t>773-46-9525</t>
  </si>
  <si>
    <t>S. Pardon</t>
  </si>
  <si>
    <t>106-39-9634</t>
  </si>
  <si>
    <t>R. Orta</t>
  </si>
  <si>
    <t>390-46-6283</t>
  </si>
  <si>
    <t>N. Bartleet</t>
  </si>
  <si>
    <t>628-45-6492</t>
  </si>
  <si>
    <t>L. McCarrison</t>
  </si>
  <si>
    <t>377-59-2511</t>
  </si>
  <si>
    <t>H. Topling</t>
  </si>
  <si>
    <t>255-33-4780</t>
  </si>
  <si>
    <t>O. Clemmey</t>
  </si>
  <si>
    <t>397-69-1401</t>
  </si>
  <si>
    <t>M. Reggiani</t>
  </si>
  <si>
    <t>235-04-5200</t>
  </si>
  <si>
    <t>D. Easthope</t>
  </si>
  <si>
    <t>208-13-3546</t>
  </si>
  <si>
    <t>B. O'Kynsillaghe</t>
  </si>
  <si>
    <t>Data returned for Count of Age Group, 0-9, Apr (First 1000 rows).</t>
  </si>
  <si>
    <t>Count of Patient Attend Status</t>
  </si>
  <si>
    <t>Count of Patient Gender</t>
  </si>
  <si>
    <t>Count of Department Referral</t>
  </si>
  <si>
    <t>2023</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</si>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</sst>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34998626667073579"/>
      <name val="Calibri"/>
      <family val="2"/>
      <scheme val="minor"/>
    </font>
    <font>
      <sz val="1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0" xfId="0" applyNumberFormat="1"/>
    <xf numFmtId="2" fontId="0" fillId="0" borderId="0" xfId="0" applyNumberFormat="1"/>
    <xf numFmtId="0" fontId="18" fillId="33" borderId="0" xfId="0" applyFont="1" applyFill="1"/>
    <xf numFmtId="0" fontId="19" fillId="33" borderId="0" xfId="0" applyFont="1" applyFill="1"/>
    <xf numFmtId="0" fontId="0" fillId="33" borderId="0" xfId="0" applyFill="1"/>
    <xf numFmtId="0" fontId="0" fillId="0" borderId="0" xfId="0" pivotButton="1"/>
    <xf numFmtId="0" fontId="0" fillId="0" borderId="0" xfId="0" applyAlignment="1">
      <alignment horizontal="left"/>
    </xf>
    <xf numFmtId="9" fontId="0" fillId="0" borderId="0" xfId="0" applyNumberFormat="1"/>
    <xf numFmtId="0" fontId="16" fillId="35" borderId="0" xfId="0" applyFont="1" applyFill="1" applyAlignment="1">
      <alignment horizontal="center"/>
    </xf>
    <xf numFmtId="0" fontId="16" fillId="34" borderId="0" xfId="0" applyFont="1" applyFill="1" applyAlignment="1">
      <alignment horizontal="center"/>
    </xf>
    <xf numFmtId="9" fontId="16" fillId="34" borderId="0" xfId="0" applyNumberFormat="1" applyFont="1" applyFill="1" applyAlignment="1">
      <alignment horizontal="center"/>
    </xf>
    <xf numFmtId="0" fontId="0" fillId="0" borderId="0" xfId="0" applyAlignment="1">
      <alignment wrapText="1"/>
    </xf>
    <xf numFmtId="0" fontId="20" fillId="33" borderId="0" xfId="0" applyFont="1" applyFill="1" applyAlignment="1">
      <alignment horizontal="center" wrapText="1"/>
    </xf>
    <xf numFmtId="0" fontId="20" fillId="33" borderId="0" xfId="0" applyFont="1" applyFill="1" applyAlignment="1">
      <alignment horizontal="center"/>
    </xf>
    <xf numFmtId="14" fontId="0" fillId="0" borderId="0" xfId="0" applyNumberFormat="1"/>
    <xf numFmtId="21"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37">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font>
        <color theme="0" tint="-0.24994659260841701"/>
      </font>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1" formatCode="0.000"/>
    </dxf>
    <dxf>
      <numFmt numFmtId="2" formatCode="0.00"/>
    </dxf>
    <dxf>
      <numFmt numFmtId="173" formatCode="0.0"/>
    </dxf>
    <dxf>
      <numFmt numFmtId="1"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73" formatCode="0.0"/>
    </dxf>
    <dxf>
      <numFmt numFmtId="1" formatCode="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72" formatCode="0.0%"/>
    </dxf>
    <dxf>
      <numFmt numFmtId="13" formatCode="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5" formatCode="0.000000000"/>
    </dxf>
    <dxf>
      <numFmt numFmtId="164" formatCode="0.000000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 formatCode="0"/>
    </dxf>
    <dxf>
      <numFmt numFmtId="173" formatCode="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 formatCode="0"/>
    </dxf>
    <dxf>
      <numFmt numFmtId="173" formatCode="0.0"/>
    </dxf>
    <dxf>
      <numFmt numFmtId="2" formatCode="0.00"/>
    </dxf>
    <dxf>
      <numFmt numFmtId="171" formatCode="0.000"/>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 formatCode="0"/>
    </dxf>
    <dxf>
      <numFmt numFmtId="173" formatCode="0.0"/>
    </dxf>
    <dxf>
      <numFmt numFmtId="26" formatCode="h:mm:ss"/>
    </dxf>
    <dxf>
      <numFmt numFmtId="19" formatCode="m/d/yyyy"/>
    </dxf>
    <dxf>
      <numFmt numFmtId="165"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3" formatCode="0.0"/>
    </dxf>
    <dxf>
      <numFmt numFmtId="2" formatCode="0.00"/>
    </dxf>
    <dxf>
      <numFmt numFmtId="13" formatCode="0%"/>
    </dxf>
    <dxf>
      <numFmt numFmtId="172" formatCode="0.0%"/>
    </dxf>
    <dxf>
      <numFmt numFmtId="14" formatCode="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0.000000000"/>
    </dxf>
    <dxf>
      <numFmt numFmtId="164" formatCode="0.000000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0.000000000"/>
    </dxf>
    <dxf>
      <numFmt numFmtId="164" formatCode="0.0000000000"/>
    </dxf>
    <dxf>
      <numFmt numFmtId="165" formatCode="0.00000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0.000000000"/>
    </dxf>
    <dxf>
      <numFmt numFmtId="164" formatCode="0.0000000000"/>
    </dxf>
    <dxf>
      <numFmt numFmtId="2" formatCode="0.00"/>
    </dxf>
    <dxf>
      <numFmt numFmtId="173"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0.000000000"/>
    </dxf>
    <dxf>
      <numFmt numFmtId="2" formatCode="0.00"/>
    </dxf>
    <dxf>
      <numFmt numFmtId="173"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0.000000000"/>
    </dxf>
    <dxf>
      <font>
        <b/>
        <color theme="1"/>
      </font>
      <border>
        <bottom style="thin">
          <color theme="5"/>
        </bottom>
        <vertical/>
        <horizontal/>
      </border>
    </dxf>
    <dxf>
      <font>
        <b/>
        <i val="0"/>
        <sz val="11"/>
        <color theme="1"/>
      </font>
      <border>
        <left style="thin">
          <color theme="1"/>
        </left>
        <right style="thin">
          <color theme="1"/>
        </right>
        <top style="thin">
          <color theme="1"/>
        </top>
        <bottom style="thin">
          <color theme="1"/>
        </bottom>
        <vertical/>
        <horizontal/>
      </border>
    </dxf>
  </dxfs>
  <tableStyles count="2" defaultTableStyle="TableStyleMedium2" defaultPivotStyle="PivotStyleLight16">
    <tableStyle name="mySlicer" pivot="0" table="0" count="10">
      <tableStyleElement type="wholeTable" dxfId="2036"/>
      <tableStyleElement type="headerRow" dxfId="2035"/>
    </tableStyle>
    <tableStyle name="Slicer Style 1" pivot="0" table="0" count="1">
      <tableStyleElement type="wholeTable" dxfId="88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4"/>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s>
    <c:plotArea>
      <c:layout>
        <c:manualLayout>
          <c:layoutTarget val="inner"/>
          <c:xMode val="edge"/>
          <c:yMode val="edge"/>
          <c:x val="3.0502622555410849E-2"/>
          <c:y val="4.49438202247191E-2"/>
          <c:w val="0.934303852441844"/>
          <c:h val="0.67474869012159999"/>
        </c:manualLayout>
      </c:layout>
      <c:areaChart>
        <c:grouping val="standard"/>
        <c:varyColors val="0"/>
        <c:ser>
          <c:idx val="0"/>
          <c:order val="0"/>
          <c:tx>
            <c:strRef>
              <c:f>'Pivot Table'!$D$4</c:f>
              <c:strCache>
                <c:ptCount val="1"/>
                <c:pt idx="0">
                  <c:v>Total</c:v>
                </c:pt>
              </c:strCache>
            </c:strRef>
          </c:tx>
          <c:spPr>
            <a:solidFill>
              <a:schemeClr val="accent2"/>
            </a:solidFill>
            <a:ln>
              <a:noFill/>
            </a:ln>
            <a:effectLst/>
          </c:spPr>
          <c:dLbls>
            <c:delete val="1"/>
          </c:dLbls>
          <c:cat>
            <c:strRef>
              <c:f>'Pivot Table'!$C$5:$C$36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Table'!$D$5:$D$36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B0E7-41CF-9989-E4A0E54A5789}"/>
            </c:ext>
          </c:extLst>
        </c:ser>
        <c:dLbls>
          <c:showLegendKey val="0"/>
          <c:showVal val="1"/>
          <c:showCatName val="0"/>
          <c:showSerName val="0"/>
          <c:showPercent val="0"/>
          <c:showBubbleSize val="0"/>
        </c:dLbls>
        <c:axId val="315053039"/>
        <c:axId val="315053871"/>
      </c:areaChart>
      <c:catAx>
        <c:axId val="315053039"/>
        <c:scaling>
          <c:orientation val="minMax"/>
        </c:scaling>
        <c:delete val="1"/>
        <c:axPos val="b"/>
        <c:numFmt formatCode="General" sourceLinked="1"/>
        <c:majorTickMark val="out"/>
        <c:minorTickMark val="none"/>
        <c:tickLblPos val="nextTo"/>
        <c:crossAx val="315053871"/>
        <c:crosses val="autoZero"/>
        <c:auto val="1"/>
        <c:lblAlgn val="ctr"/>
        <c:lblOffset val="100"/>
        <c:noMultiLvlLbl val="0"/>
      </c:catAx>
      <c:valAx>
        <c:axId val="315053871"/>
        <c:scaling>
          <c:orientation val="minMax"/>
        </c:scaling>
        <c:delete val="1"/>
        <c:axPos val="l"/>
        <c:numFmt formatCode="General" sourceLinked="1"/>
        <c:majorTickMark val="none"/>
        <c:minorTickMark val="none"/>
        <c:tickLblPos val="nextTo"/>
        <c:crossAx val="31505303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Table!PivotTable5</c:name>
    <c:fmtId val="17"/>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s>
    <c:plotArea>
      <c:layout>
        <c:manualLayout>
          <c:layoutTarget val="inner"/>
          <c:xMode val="edge"/>
          <c:yMode val="edge"/>
          <c:x val="0"/>
          <c:y val="5.2695336159903128E-2"/>
          <c:w val="1"/>
          <c:h val="0.94730466384009693"/>
        </c:manualLayout>
      </c:layout>
      <c:areaChart>
        <c:grouping val="standard"/>
        <c:varyColors val="0"/>
        <c:ser>
          <c:idx val="0"/>
          <c:order val="0"/>
          <c:tx>
            <c:strRef>
              <c:f>'Pivot Table'!$G$4</c:f>
              <c:strCache>
                <c:ptCount val="1"/>
                <c:pt idx="0">
                  <c:v>Total</c:v>
                </c:pt>
              </c:strCache>
            </c:strRef>
          </c:tx>
          <c:spPr>
            <a:solidFill>
              <a:schemeClr val="accent2"/>
            </a:solidFill>
            <a:ln>
              <a:noFill/>
            </a:ln>
            <a:effectLst/>
          </c:spPr>
          <c:cat>
            <c:strRef>
              <c:f>'Pivot Table'!$F$5:$F$36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Table'!$G$5:$G$36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0-F6BD-4300-9184-10A7CEB03FB9}"/>
            </c:ext>
          </c:extLst>
        </c:ser>
        <c:dLbls>
          <c:showLegendKey val="0"/>
          <c:showVal val="0"/>
          <c:showCatName val="0"/>
          <c:showSerName val="0"/>
          <c:showPercent val="0"/>
          <c:showBubbleSize val="0"/>
        </c:dLbls>
        <c:axId val="608188607"/>
        <c:axId val="608200255"/>
      </c:areaChart>
      <c:catAx>
        <c:axId val="608188607"/>
        <c:scaling>
          <c:orientation val="minMax"/>
        </c:scaling>
        <c:delete val="1"/>
        <c:axPos val="b"/>
        <c:numFmt formatCode="General" sourceLinked="1"/>
        <c:majorTickMark val="out"/>
        <c:minorTickMark val="none"/>
        <c:tickLblPos val="nextTo"/>
        <c:crossAx val="608200255"/>
        <c:crosses val="autoZero"/>
        <c:auto val="1"/>
        <c:lblAlgn val="ctr"/>
        <c:lblOffset val="100"/>
        <c:noMultiLvlLbl val="0"/>
      </c:catAx>
      <c:valAx>
        <c:axId val="608200255"/>
        <c:scaling>
          <c:orientation val="minMax"/>
        </c:scaling>
        <c:delete val="1"/>
        <c:axPos val="l"/>
        <c:numFmt formatCode="0.00" sourceLinked="1"/>
        <c:majorTickMark val="none"/>
        <c:minorTickMark val="none"/>
        <c:tickLblPos val="nextTo"/>
        <c:crossAx val="608188607"/>
        <c:crosses val="autoZero"/>
        <c:crossBetween val="midCat"/>
      </c:valAx>
      <c:spPr>
        <a:solidFill>
          <a:schemeClr val="bg1">
            <a:lumMod val="95000"/>
          </a:schemeClr>
        </a:solid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Table!PivotTable6</c:name>
    <c:fmtId val="22"/>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manualLayout>
          <c:layoutTarget val="inner"/>
          <c:xMode val="edge"/>
          <c:yMode val="edge"/>
          <c:x val="0"/>
          <c:y val="0"/>
          <c:w val="1"/>
          <c:h val="1"/>
        </c:manualLayout>
      </c:layout>
      <c:areaChart>
        <c:grouping val="standard"/>
        <c:varyColors val="0"/>
        <c:ser>
          <c:idx val="0"/>
          <c:order val="0"/>
          <c:tx>
            <c:strRef>
              <c:f>'Pivot Table'!$J$4</c:f>
              <c:strCache>
                <c:ptCount val="1"/>
                <c:pt idx="0">
                  <c:v>Total</c:v>
                </c:pt>
              </c:strCache>
            </c:strRef>
          </c:tx>
          <c:spPr>
            <a:solidFill>
              <a:schemeClr val="accent2"/>
            </a:solidFill>
            <a:ln>
              <a:noFill/>
            </a:ln>
            <a:effectLst/>
          </c:spPr>
          <c:cat>
            <c:strRef>
              <c:f>'Pivot Table'!$I$5:$I$36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Table'!$J$5:$J$36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0-D3F2-4BD8-90C5-41D3FF17DBFA}"/>
            </c:ext>
          </c:extLst>
        </c:ser>
        <c:dLbls>
          <c:showLegendKey val="0"/>
          <c:showVal val="0"/>
          <c:showCatName val="0"/>
          <c:showSerName val="0"/>
          <c:showPercent val="0"/>
          <c:showBubbleSize val="0"/>
        </c:dLbls>
        <c:axId val="1108458495"/>
        <c:axId val="1108457247"/>
      </c:areaChart>
      <c:catAx>
        <c:axId val="1108458495"/>
        <c:scaling>
          <c:orientation val="minMax"/>
        </c:scaling>
        <c:delete val="1"/>
        <c:axPos val="b"/>
        <c:numFmt formatCode="General" sourceLinked="1"/>
        <c:majorTickMark val="out"/>
        <c:minorTickMark val="none"/>
        <c:tickLblPos val="nextTo"/>
        <c:crossAx val="1108457247"/>
        <c:crosses val="autoZero"/>
        <c:auto val="1"/>
        <c:lblAlgn val="ctr"/>
        <c:lblOffset val="100"/>
        <c:noMultiLvlLbl val="0"/>
      </c:catAx>
      <c:valAx>
        <c:axId val="1108457247"/>
        <c:scaling>
          <c:orientation val="minMax"/>
        </c:scaling>
        <c:delete val="1"/>
        <c:axPos val="l"/>
        <c:numFmt formatCode="0.00" sourceLinked="1"/>
        <c:majorTickMark val="none"/>
        <c:minorTickMark val="none"/>
        <c:tickLblPos val="nextTo"/>
        <c:crossAx val="1108458495"/>
        <c:crosses val="autoZero"/>
        <c:crossBetween val="midCat"/>
      </c:valAx>
      <c:spPr>
        <a:solidFill>
          <a:schemeClr val="bg1">
            <a:lumMod val="95000"/>
          </a:schemeClr>
        </a:solidFill>
        <a:ln>
          <a:noFill/>
        </a:ln>
        <a:effectLst/>
      </c:spPr>
    </c:plotArea>
    <c:plotVisOnly val="1"/>
    <c:dispBlanksAs val="zero"/>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Table!PivotTable8</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manualLayout>
          <c:layoutTarget val="inner"/>
          <c:xMode val="edge"/>
          <c:yMode val="edge"/>
          <c:x val="1.6033537976427644E-2"/>
          <c:y val="4.3273342253772197E-2"/>
          <c:w val="0.98396640773046395"/>
          <c:h val="0.72111707060610097"/>
        </c:manualLayout>
      </c:layout>
      <c:barChart>
        <c:barDir val="col"/>
        <c:grouping val="clustered"/>
        <c:varyColors val="0"/>
        <c:ser>
          <c:idx val="0"/>
          <c:order val="0"/>
          <c:tx>
            <c:strRef>
              <c:f>'Pivot Table'!$G$45</c:f>
              <c:strCache>
                <c:ptCount val="1"/>
                <c:pt idx="0">
                  <c:v>Total</c:v>
                </c:pt>
              </c:strCache>
            </c:strRef>
          </c:tx>
          <c:spPr>
            <a:solidFill>
              <a:schemeClr val="accent2"/>
            </a:solidFill>
            <a:ln>
              <a:noFill/>
            </a:ln>
            <a:effectLst/>
          </c:spPr>
          <c:invertIfNegative val="0"/>
          <c:cat>
            <c:strRef>
              <c:f>'Pivot Table'!$F$46:$F$54</c:f>
              <c:strCache>
                <c:ptCount val="8"/>
                <c:pt idx="0">
                  <c:v>0-9</c:v>
                </c:pt>
                <c:pt idx="1">
                  <c:v>10-19</c:v>
                </c:pt>
                <c:pt idx="2">
                  <c:v>20-29</c:v>
                </c:pt>
                <c:pt idx="3">
                  <c:v>30-39</c:v>
                </c:pt>
                <c:pt idx="4">
                  <c:v>40-49</c:v>
                </c:pt>
                <c:pt idx="5">
                  <c:v>50-59</c:v>
                </c:pt>
                <c:pt idx="6">
                  <c:v>60-69</c:v>
                </c:pt>
                <c:pt idx="7">
                  <c:v>70-79</c:v>
                </c:pt>
              </c:strCache>
            </c:strRef>
          </c:cat>
          <c:val>
            <c:numRef>
              <c:f>'Pivot Table'!$G$46:$G$54</c:f>
              <c:numCache>
                <c:formatCode>0</c:formatCode>
                <c:ptCount val="8"/>
                <c:pt idx="0">
                  <c:v>52</c:v>
                </c:pt>
                <c:pt idx="1">
                  <c:v>65</c:v>
                </c:pt>
                <c:pt idx="2">
                  <c:v>64</c:v>
                </c:pt>
                <c:pt idx="3">
                  <c:v>57</c:v>
                </c:pt>
                <c:pt idx="4">
                  <c:v>71</c:v>
                </c:pt>
                <c:pt idx="5">
                  <c:v>59</c:v>
                </c:pt>
                <c:pt idx="6">
                  <c:v>61</c:v>
                </c:pt>
                <c:pt idx="7">
                  <c:v>64</c:v>
                </c:pt>
              </c:numCache>
            </c:numRef>
          </c:val>
          <c:extLst>
            <c:ext xmlns:c16="http://schemas.microsoft.com/office/drawing/2014/chart" uri="{C3380CC4-5D6E-409C-BE32-E72D297353CC}">
              <c16:uniqueId val="{00000000-9739-4AFA-81B8-2760A3088E92}"/>
            </c:ext>
          </c:extLst>
        </c:ser>
        <c:dLbls>
          <c:showLegendKey val="0"/>
          <c:showVal val="0"/>
          <c:showCatName val="0"/>
          <c:showSerName val="0"/>
          <c:showPercent val="0"/>
          <c:showBubbleSize val="0"/>
        </c:dLbls>
        <c:gapWidth val="219"/>
        <c:overlap val="-27"/>
        <c:axId val="1000040575"/>
        <c:axId val="1000033919"/>
      </c:barChart>
      <c:catAx>
        <c:axId val="10000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00033919"/>
        <c:crosses val="autoZero"/>
        <c:auto val="1"/>
        <c:lblAlgn val="ctr"/>
        <c:lblOffset val="100"/>
        <c:noMultiLvlLbl val="0"/>
      </c:catAx>
      <c:valAx>
        <c:axId val="1000033919"/>
        <c:scaling>
          <c:orientation val="minMax"/>
        </c:scaling>
        <c:delete val="1"/>
        <c:axPos val="l"/>
        <c:numFmt formatCode="0" sourceLinked="1"/>
        <c:majorTickMark val="none"/>
        <c:minorTickMark val="none"/>
        <c:tickLblPos val="nextTo"/>
        <c:crossAx val="1000040575"/>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Table!PivotTable9</c:name>
    <c:fmtId val="25"/>
  </c:pivotSource>
  <c:chart>
    <c:autoTitleDeleted val="1"/>
    <c:pivotFmts>
      <c:pivotFmt>
        <c:idx val="0"/>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Table'!$B$50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47-4388-BB09-6A149071582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47-4388-BB09-6A14907158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Table'!$A$51:$A$53</c:f>
              <c:strCache>
                <c:ptCount val="2"/>
                <c:pt idx="0">
                  <c:v>Delay</c:v>
                </c:pt>
                <c:pt idx="1">
                  <c:v>On Time</c:v>
                </c:pt>
              </c:strCache>
            </c:strRef>
          </c:cat>
          <c:val>
            <c:numRef>
              <c:f>'Pivot Table'!$B$51:$B$53</c:f>
              <c:numCache>
                <c:formatCode>0</c:formatCode>
                <c:ptCount val="2"/>
                <c:pt idx="0">
                  <c:v>281</c:v>
                </c:pt>
                <c:pt idx="1">
                  <c:v>212</c:v>
                </c:pt>
              </c:numCache>
            </c:numRef>
          </c:val>
          <c:extLst>
            <c:ext xmlns:c16="http://schemas.microsoft.com/office/drawing/2014/chart" uri="{C3380CC4-5D6E-409C-BE32-E72D297353CC}">
              <c16:uniqueId val="{00000004-7F47-4388-BB09-6A14907158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1839290155692974"/>
          <c:y val="0"/>
          <c:w val="0.4714933668735713"/>
          <c:h val="0.217504003985159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Table!PivotTable10</c:name>
    <c:fmtId val="32"/>
  </c:pivotSource>
  <c:chart>
    <c:autoTitleDeleted val="1"/>
    <c:pivotFmts>
      <c:pivotFmt>
        <c:idx val="0"/>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478752584100421"/>
          <c:y val="8.4541575160247823E-2"/>
          <c:w val="0.45214226270496677"/>
          <c:h val="0.8827539414716018"/>
        </c:manualLayout>
      </c:layout>
      <c:doughnutChart>
        <c:varyColors val="1"/>
        <c:ser>
          <c:idx val="0"/>
          <c:order val="0"/>
          <c:tx>
            <c:strRef>
              <c:f>'Pivot Table'!$B$56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37-4BE5-906E-7365839BCFD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37-4BE5-906E-7365839BCF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Table'!$A$57:$A$59</c:f>
              <c:strCache>
                <c:ptCount val="2"/>
                <c:pt idx="0">
                  <c:v>Female</c:v>
                </c:pt>
                <c:pt idx="1">
                  <c:v>Male</c:v>
                </c:pt>
              </c:strCache>
            </c:strRef>
          </c:cat>
          <c:val>
            <c:numRef>
              <c:f>'Pivot Table'!$B$57:$B$59</c:f>
              <c:numCache>
                <c:formatCode>0.00</c:formatCode>
                <c:ptCount val="2"/>
                <c:pt idx="0">
                  <c:v>248</c:v>
                </c:pt>
                <c:pt idx="1">
                  <c:v>245</c:v>
                </c:pt>
              </c:numCache>
            </c:numRef>
          </c:val>
          <c:extLst>
            <c:ext xmlns:c16="http://schemas.microsoft.com/office/drawing/2014/chart" uri="{C3380CC4-5D6E-409C-BE32-E72D297353CC}">
              <c16:uniqueId val="{00000004-3B37-4BE5-906E-7365839BCFD5}"/>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62299135402192374"/>
          <c:y val="0"/>
          <c:w val="0.37700864597807626"/>
          <c:h val="0.21067295159533631"/>
        </c:manualLayout>
      </c:layout>
      <c:overlay val="0"/>
      <c:spPr>
        <a:solidFill>
          <a:schemeClr val="bg1">
            <a:lumMod val="95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Table!PivotTable11</c:name>
    <c:fmtId val="35"/>
  </c:pivotSource>
  <c:chart>
    <c:autoTitleDeleted val="1"/>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solidFill>
          <a:ln>
            <a:noFill/>
          </a:ln>
          <a:effectLst/>
        </c:spPr>
        <c:marker>
          <c:symbol val="none"/>
        </c:marker>
      </c:pivotFmt>
    </c:pivotFmts>
    <c:plotArea>
      <c:layout>
        <c:manualLayout>
          <c:layoutTarget val="inner"/>
          <c:xMode val="edge"/>
          <c:yMode val="edge"/>
          <c:x val="0.28394291338582678"/>
          <c:y val="3.2096304417643995E-2"/>
          <c:w val="0.70288030863611928"/>
          <c:h val="0.90615590772672405"/>
        </c:manualLayout>
      </c:layout>
      <c:barChart>
        <c:barDir val="bar"/>
        <c:grouping val="clustered"/>
        <c:varyColors val="0"/>
        <c:ser>
          <c:idx val="0"/>
          <c:order val="0"/>
          <c:tx>
            <c:strRef>
              <c:f>'Pivot Table'!$B$61</c:f>
              <c:strCache>
                <c:ptCount val="1"/>
                <c:pt idx="0">
                  <c:v>Total</c:v>
                </c:pt>
              </c:strCache>
            </c:strRef>
          </c:tx>
          <c:spPr>
            <a:solidFill>
              <a:schemeClr val="accent2"/>
            </a:solidFill>
            <a:ln>
              <a:noFill/>
            </a:ln>
            <a:effectLst/>
          </c:spPr>
          <c:invertIfNegative val="0"/>
          <c:cat>
            <c:strRef>
              <c:f>'Pivot Table'!$A$62:$A$70</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Table'!$B$62:$B$70</c:f>
              <c:numCache>
                <c:formatCode>0</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0-9FC7-48B9-A270-BB8E115DF644}"/>
            </c:ext>
          </c:extLst>
        </c:ser>
        <c:dLbls>
          <c:showLegendKey val="0"/>
          <c:showVal val="0"/>
          <c:showCatName val="0"/>
          <c:showSerName val="0"/>
          <c:showPercent val="0"/>
          <c:showBubbleSize val="0"/>
        </c:dLbls>
        <c:gapWidth val="20"/>
        <c:axId val="1897838095"/>
        <c:axId val="1897841007"/>
      </c:barChart>
      <c:catAx>
        <c:axId val="189783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97841007"/>
        <c:crosses val="autoZero"/>
        <c:auto val="1"/>
        <c:lblAlgn val="ctr"/>
        <c:lblOffset val="100"/>
        <c:noMultiLvlLbl val="0"/>
      </c:catAx>
      <c:valAx>
        <c:axId val="1897841007"/>
        <c:scaling>
          <c:orientation val="minMax"/>
        </c:scaling>
        <c:delete val="1"/>
        <c:axPos val="b"/>
        <c:numFmt formatCode="0" sourceLinked="1"/>
        <c:majorTickMark val="none"/>
        <c:minorTickMark val="none"/>
        <c:tickLblPos val="nextTo"/>
        <c:crossAx val="1897838095"/>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6"/>
  </c:pivotSource>
  <c:chart>
    <c:autoTitleDeleted val="1"/>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pPr>
            <a:solidFill>
              <a:schemeClr val="accent2"/>
            </a:solidFill>
            <a:ln w="22225">
              <a:solidFill>
                <a:schemeClr val="lt1"/>
              </a:solidFill>
              <a:round/>
            </a:ln>
            <a:effectLst/>
          </c:spPr>
        </c:marker>
      </c:pivotFmt>
      <c:pivotFmt>
        <c:idx val="9"/>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6.0364507809118124E-2"/>
          <c:y val="0.1198501872659176"/>
          <c:w val="0.9200195743130305"/>
          <c:h val="0.75667741664550059"/>
        </c:manualLayout>
      </c:layout>
      <c:areaChart>
        <c:grouping val="standard"/>
        <c:varyColors val="0"/>
        <c:ser>
          <c:idx val="0"/>
          <c:order val="0"/>
          <c:tx>
            <c:strRef>
              <c:f>'Pivot Table'!$D$4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a:solidFill>
                        <a:schemeClr val="accent2">
                          <a:lumMod val="60000"/>
                          <a:lumOff val="40000"/>
                        </a:schemeClr>
                      </a:solidFill>
                    </a:ln>
                    <a:effectLst/>
                  </c:spPr>
                </c15:leaderLines>
              </c:ext>
            </c:extLst>
          </c:dLbls>
          <c:cat>
            <c:strRef>
              <c:f>'Pivot Table'!$C$5:$C$36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Table'!$D$5:$D$36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68F4-4BE0-9A75-4401C1058773}"/>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5053039"/>
        <c:axId val="315053871"/>
      </c:areaChart>
      <c:catAx>
        <c:axId val="315053039"/>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315053871"/>
        <c:crosses val="autoZero"/>
        <c:auto val="1"/>
        <c:lblAlgn val="ctr"/>
        <c:lblOffset val="100"/>
        <c:noMultiLvlLbl val="0"/>
      </c:catAx>
      <c:valAx>
        <c:axId val="315053871"/>
        <c:scaling>
          <c:orientation val="minMax"/>
        </c:scaling>
        <c:delete val="1"/>
        <c:axPos val="l"/>
        <c:numFmt formatCode="General" sourceLinked="1"/>
        <c:majorTickMark val="out"/>
        <c:minorTickMark val="none"/>
        <c:tickLblPos val="nextTo"/>
        <c:crossAx val="315053039"/>
        <c:crosses val="autoZero"/>
        <c:crossBetween val="midCat"/>
      </c:valAx>
      <c:spPr>
        <a:noFill/>
        <a:ln>
          <a:noFill/>
        </a:ln>
        <a:effectLst/>
      </c:spPr>
    </c:plotArea>
    <c:plotVisOnly val="1"/>
    <c:dispBlanksAs val="zero"/>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Table!PivotTable5</c:name>
    <c:fmtId val="19"/>
  </c:pivotSource>
  <c:chart>
    <c:autoTitleDeleted val="1"/>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pPr>
            <a:solidFill>
              <a:schemeClr val="accent2"/>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5339717312459578E-2"/>
          <c:y val="4.2175964706539344E-2"/>
          <c:w val="0.89220275976856966"/>
          <c:h val="0.8083104372591724"/>
        </c:manualLayout>
      </c:layout>
      <c:areaChart>
        <c:grouping val="standard"/>
        <c:varyColors val="0"/>
        <c:ser>
          <c:idx val="0"/>
          <c:order val="0"/>
          <c:tx>
            <c:strRef>
              <c:f>'Pivot Table'!$G$4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2">
                          <a:lumMod val="60000"/>
                          <a:lumOff val="40000"/>
                        </a:schemeClr>
                      </a:solidFill>
                    </a:ln>
                    <a:effectLst/>
                  </c:spPr>
                </c15:leaderLines>
              </c:ext>
            </c:extLst>
          </c:dLbls>
          <c:cat>
            <c:strRef>
              <c:f>'Pivot Table'!$F$5:$F$36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Table'!$G$5:$G$36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0-3E69-4A2A-8939-1B0A0F348C5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08188607"/>
        <c:axId val="608200255"/>
      </c:areaChart>
      <c:catAx>
        <c:axId val="608188607"/>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08200255"/>
        <c:crosses val="autoZero"/>
        <c:auto val="1"/>
        <c:lblAlgn val="ctr"/>
        <c:lblOffset val="100"/>
        <c:noMultiLvlLbl val="0"/>
      </c:catAx>
      <c:valAx>
        <c:axId val="608200255"/>
        <c:scaling>
          <c:orientation val="minMax"/>
        </c:scaling>
        <c:delete val="1"/>
        <c:axPos val="l"/>
        <c:numFmt formatCode="0.00" sourceLinked="1"/>
        <c:majorTickMark val="out"/>
        <c:minorTickMark val="none"/>
        <c:tickLblPos val="nextTo"/>
        <c:crossAx val="608188607"/>
        <c:crosses val="autoZero"/>
        <c:crossBetween val="midCat"/>
      </c:valAx>
      <c:spPr>
        <a:noFill/>
        <a:ln>
          <a:noFill/>
        </a:ln>
        <a:effectLst/>
      </c:spPr>
    </c:plotArea>
    <c:plotVisOnly val="1"/>
    <c:dispBlanksAs val="zero"/>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Table!PivotTable6</c:name>
    <c:fmtId val="24"/>
  </c:pivotSource>
  <c:chart>
    <c:autoTitleDeleted val="1"/>
    <c:pivotFmts>
      <c:pivotFmt>
        <c:idx val="0"/>
      </c:pivotFmt>
      <c:pivotFmt>
        <c:idx val="1"/>
      </c:pivotFmt>
      <c:pivotFmt>
        <c:idx val="2"/>
      </c:pivotFmt>
      <c:pivotFmt>
        <c:idx val="3"/>
      </c:pivotFmt>
      <c:pivotFmt>
        <c:idx val="4"/>
      </c:pivotFmt>
      <c:pivotFmt>
        <c:idx val="5"/>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pPr>
            <a:solidFill>
              <a:schemeClr val="accent2"/>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5246753246753247E-2"/>
          <c:y val="4.0182636843882548E-2"/>
          <c:w val="0.93274818588852859"/>
          <c:h val="0.86830449982252911"/>
        </c:manualLayout>
      </c:layout>
      <c:areaChart>
        <c:grouping val="standard"/>
        <c:varyColors val="0"/>
        <c:ser>
          <c:idx val="0"/>
          <c:order val="0"/>
          <c:tx>
            <c:strRef>
              <c:f>'Pivot Table'!$J$4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2">
                          <a:lumMod val="60000"/>
                          <a:lumOff val="40000"/>
                        </a:schemeClr>
                      </a:solidFill>
                    </a:ln>
                    <a:effectLst/>
                  </c:spPr>
                </c15:leaderLines>
              </c:ext>
            </c:extLst>
          </c:dLbls>
          <c:cat>
            <c:strRef>
              <c:f>'Pivot Table'!$I$5:$I$36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Table'!$J$5:$J$36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2-F569-4DE9-99F7-50E9C5C41ED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08458495"/>
        <c:axId val="1108457247"/>
      </c:areaChart>
      <c:catAx>
        <c:axId val="1108458495"/>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108457247"/>
        <c:crosses val="autoZero"/>
        <c:auto val="1"/>
        <c:lblAlgn val="ctr"/>
        <c:lblOffset val="100"/>
        <c:noMultiLvlLbl val="0"/>
      </c:catAx>
      <c:valAx>
        <c:axId val="1108457247"/>
        <c:scaling>
          <c:orientation val="minMax"/>
        </c:scaling>
        <c:delete val="1"/>
        <c:axPos val="l"/>
        <c:numFmt formatCode="0.00" sourceLinked="1"/>
        <c:majorTickMark val="out"/>
        <c:minorTickMark val="none"/>
        <c:tickLblPos val="nextTo"/>
        <c:crossAx val="1108458495"/>
        <c:crosses val="autoZero"/>
        <c:crossBetween val="midCat"/>
      </c:valAx>
      <c:spPr>
        <a:noFill/>
        <a:ln>
          <a:noFill/>
        </a:ln>
        <a:effectLst/>
      </c:spPr>
    </c:plotArea>
    <c:plotVisOnly val="1"/>
    <c:dispBlanksAs val="zero"/>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Table!PivotTable7</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1"/>
            </c:ext>
          </c:extLst>
        </c:dLbl>
      </c:pivotFmt>
      <c:pivotFmt>
        <c:idx val="3"/>
        <c:spPr>
          <a:solidFill>
            <a:schemeClr val="accent2"/>
          </a:solidFill>
          <a:ln>
            <a:noFill/>
          </a:ln>
          <a:effectLst/>
        </c:spPr>
        <c:marker>
          <c:symbol val="none"/>
        </c:marker>
      </c:pivotFmt>
      <c:pivotFmt>
        <c:idx val="4"/>
        <c:dLbl>
          <c:idx val="0"/>
          <c:layout/>
          <c:tx>
            <c:rich>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8EBAD4A-60D6-4356-BC92-BD73AC3CFAE1}"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15:dlblFieldTable/>
              <c15:xForSave val="1"/>
              <c15:showDataLabelsRange val="1"/>
            </c:ext>
          </c:extLst>
        </c:dLbl>
      </c:pivotFmt>
      <c:pivotFmt>
        <c:idx val="5"/>
        <c:dLbl>
          <c:idx val="0"/>
          <c:layout/>
          <c:tx>
            <c:rich>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CA8E83-8768-4B6E-9D01-2F30E46A715D}"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15:dlblFieldTable/>
              <c15:xForSave val="1"/>
              <c15:showDataLabelsRange val="1"/>
            </c:ext>
          </c:extLst>
        </c:dLbl>
      </c:pivotFmt>
    </c:pivotFmts>
    <c:plotArea>
      <c:layout>
        <c:manualLayout>
          <c:layoutTarget val="inner"/>
          <c:xMode val="edge"/>
          <c:yMode val="edge"/>
          <c:x val="0"/>
          <c:y val="4.1025641025641033E-2"/>
          <c:w val="1"/>
          <c:h val="0.95897435897435901"/>
        </c:manualLayout>
      </c:layout>
      <c:barChart>
        <c:barDir val="bar"/>
        <c:grouping val="clustered"/>
        <c:varyColors val="0"/>
        <c:ser>
          <c:idx val="0"/>
          <c:order val="0"/>
          <c:tx>
            <c:strRef>
              <c:f>'Pivot Table'!$C$40:$C$41</c:f>
              <c:strCache>
                <c:ptCount val="1"/>
                <c:pt idx="0">
                  <c:v>Count of Patient Admission Flag</c:v>
                </c:pt>
              </c:strCache>
            </c:strRef>
          </c:tx>
          <c:spPr>
            <a:solidFill>
              <a:schemeClr val="accent2"/>
            </a:solidFill>
            <a:ln>
              <a:noFill/>
            </a:ln>
            <a:effectLst/>
          </c:spPr>
          <c:invertIfNegative val="0"/>
          <c:dLbls>
            <c:dLbl>
              <c:idx val="0"/>
              <c:layout/>
              <c:tx>
                <c:rich>
                  <a:bodyPr/>
                  <a:lstStyle/>
                  <a:p>
                    <a:fld id="{E8EBAD4A-60D6-4356-BC92-BD73AC3CFA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2-F5D3-43D2-8893-A4DC0478D923}"/>
                </c:ext>
              </c:extLst>
            </c:dLbl>
            <c:dLbl>
              <c:idx val="1"/>
              <c:layout/>
              <c:tx>
                <c:rich>
                  <a:bodyPr/>
                  <a:lstStyle/>
                  <a:p>
                    <a:fld id="{75CA8E83-8768-4B6E-9D01-2F30E46A71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F5D3-43D2-8893-A4DC0478D923}"/>
                </c:ext>
              </c:extLst>
            </c:dLbl>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Table'!$C$40:$C$41</c:f>
              <c:strCache>
                <c:ptCount val="2"/>
                <c:pt idx="0">
                  <c:v>Admitted</c:v>
                </c:pt>
                <c:pt idx="1">
                  <c:v>Not Admitted</c:v>
                </c:pt>
              </c:strCache>
            </c:strRef>
          </c:cat>
          <c:val>
            <c:numRef>
              <c:f>'Pivot Table'!$C$40:$C$41</c:f>
              <c:numCache>
                <c:formatCode>0.00</c:formatCode>
                <c:ptCount val="2"/>
                <c:pt idx="0">
                  <c:v>239</c:v>
                </c:pt>
                <c:pt idx="1">
                  <c:v>254</c:v>
                </c:pt>
              </c:numCache>
            </c:numRef>
          </c:val>
          <c:extLst>
            <c:ext xmlns:c15="http://schemas.microsoft.com/office/drawing/2012/chart" uri="{02D57815-91ED-43cb-92C2-25804820EDAC}">
              <c15:datalabelsRange>
                <c15:f>'Pivot Table'!$C$40:$C$41</c15:f>
                <c15:dlblRangeCache>
                  <c:ptCount val="2"/>
                  <c:pt idx="0">
                    <c:v>48%</c:v>
                  </c:pt>
                  <c:pt idx="1">
                    <c:v>52%</c:v>
                  </c:pt>
                </c15:dlblRangeCache>
              </c15:datalabelsRange>
            </c:ext>
            <c:ext xmlns:c16="http://schemas.microsoft.com/office/drawing/2014/chart" uri="{C3380CC4-5D6E-409C-BE32-E72D297353CC}">
              <c16:uniqueId val="{00000000-F5D3-43D2-8893-A4DC0478D923}"/>
            </c:ext>
          </c:extLst>
        </c:ser>
        <c:ser>
          <c:idx val="1"/>
          <c:order val="1"/>
          <c:tx>
            <c:strRef>
              <c:f>'Pivot Table'!$C$40:$C$41</c:f>
              <c:strCache>
                <c:ptCount val="1"/>
                <c:pt idx="0">
                  <c:v>Count of Patient Admission Flag2</c:v>
                </c:pt>
              </c:strCache>
            </c:strRef>
          </c:tx>
          <c:spPr>
            <a:solidFill>
              <a:schemeClr val="accent2"/>
            </a:solidFill>
            <a:ln>
              <a:noFill/>
            </a:ln>
            <a:effectLst/>
          </c:spPr>
          <c:invertIfNegative val="0"/>
          <c:cat>
            <c:strRef>
              <c:f>'Pivot Table'!$C$40:$C$41</c:f>
              <c:strCache>
                <c:ptCount val="2"/>
                <c:pt idx="0">
                  <c:v>Admitted</c:v>
                </c:pt>
                <c:pt idx="1">
                  <c:v>Not Admitted</c:v>
                </c:pt>
              </c:strCache>
            </c:strRef>
          </c:cat>
          <c:val>
            <c:numRef>
              <c:f>'Pivot Table'!$C$40:$C$41</c:f>
              <c:numCache>
                <c:formatCode>0%</c:formatCode>
                <c:ptCount val="2"/>
                <c:pt idx="0">
                  <c:v>0.48478701825557807</c:v>
                </c:pt>
                <c:pt idx="1">
                  <c:v>0.51521298174442187</c:v>
                </c:pt>
              </c:numCache>
            </c:numRef>
          </c:val>
          <c:extLst>
            <c:ext xmlns:c16="http://schemas.microsoft.com/office/drawing/2014/chart" uri="{C3380CC4-5D6E-409C-BE32-E72D297353CC}">
              <c16:uniqueId val="{00000001-F5D3-43D2-8893-A4DC0478D923}"/>
            </c:ext>
          </c:extLst>
        </c:ser>
        <c:dLbls>
          <c:showLegendKey val="0"/>
          <c:showVal val="0"/>
          <c:showCatName val="0"/>
          <c:showSerName val="0"/>
          <c:showPercent val="0"/>
          <c:showBubbleSize val="0"/>
        </c:dLbls>
        <c:gapWidth val="0"/>
        <c:axId val="102281744"/>
        <c:axId val="102278416"/>
      </c:barChart>
      <c:catAx>
        <c:axId val="102281744"/>
        <c:scaling>
          <c:orientation val="minMax"/>
        </c:scaling>
        <c:delete val="1"/>
        <c:axPos val="l"/>
        <c:numFmt formatCode="General" sourceLinked="1"/>
        <c:majorTickMark val="none"/>
        <c:minorTickMark val="none"/>
        <c:tickLblPos val="nextTo"/>
        <c:crossAx val="102278416"/>
        <c:crosses val="autoZero"/>
        <c:auto val="1"/>
        <c:lblAlgn val="ctr"/>
        <c:lblOffset val="100"/>
        <c:noMultiLvlLbl val="0"/>
      </c:catAx>
      <c:valAx>
        <c:axId val="102278416"/>
        <c:scaling>
          <c:orientation val="minMax"/>
        </c:scaling>
        <c:delete val="1"/>
        <c:axPos val="b"/>
        <c:numFmt formatCode="0.00" sourceLinked="1"/>
        <c:majorTickMark val="none"/>
        <c:minorTickMark val="none"/>
        <c:tickLblPos val="nextTo"/>
        <c:crossAx val="102281744"/>
        <c:crosses val="autoZero"/>
        <c:crossBetween val="between"/>
      </c:valAx>
      <c:spPr>
        <a:noFill/>
        <a:ln>
          <a:solidFill>
            <a:schemeClr val="accent1">
              <a:shade val="50000"/>
            </a:schemeClr>
          </a:solid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hyperlink" Target="#'Average Wait Time'!A1"/><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5.emf"/><Relationship Id="rId5" Type="http://schemas.openxmlformats.org/officeDocument/2006/relationships/hyperlink" Target="#'Daily ER no. of Pateint'!A1"/><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hyperlink" Target="#'Patient Satisfaction Score'!A1"/><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absolute">
    <xdr:from>
      <xdr:col>0</xdr:col>
      <xdr:colOff>66675</xdr:colOff>
      <xdr:row>0</xdr:row>
      <xdr:rowOff>95250</xdr:rowOff>
    </xdr:from>
    <xdr:to>
      <xdr:col>7</xdr:col>
      <xdr:colOff>590550</xdr:colOff>
      <xdr:row>4</xdr:row>
      <xdr:rowOff>95250</xdr:rowOff>
    </xdr:to>
    <xdr:sp macro="" textlink="">
      <xdr:nvSpPr>
        <xdr:cNvPr id="2" name="Rounded Rectangle 1"/>
        <xdr:cNvSpPr/>
      </xdr:nvSpPr>
      <xdr:spPr>
        <a:xfrm>
          <a:off x="66675" y="95250"/>
          <a:ext cx="4800600" cy="7620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editAs="absolute">
    <xdr:from>
      <xdr:col>8</xdr:col>
      <xdr:colOff>47625</xdr:colOff>
      <xdr:row>0</xdr:row>
      <xdr:rowOff>104775</xdr:rowOff>
    </xdr:from>
    <xdr:to>
      <xdr:col>10</xdr:col>
      <xdr:colOff>247650</xdr:colOff>
      <xdr:row>4</xdr:row>
      <xdr:rowOff>104775</xdr:rowOff>
    </xdr:to>
    <xdr:sp macro="" textlink="">
      <xdr:nvSpPr>
        <xdr:cNvPr id="3" name="Rounded Rectangle 2"/>
        <xdr:cNvSpPr/>
      </xdr:nvSpPr>
      <xdr:spPr>
        <a:xfrm>
          <a:off x="4933950" y="104775"/>
          <a:ext cx="1419225" cy="7620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552451</xdr:colOff>
      <xdr:row>14</xdr:row>
      <xdr:rowOff>104774</xdr:rowOff>
    </xdr:from>
    <xdr:to>
      <xdr:col>10</xdr:col>
      <xdr:colOff>593725</xdr:colOff>
      <xdr:row>23</xdr:row>
      <xdr:rowOff>184150</xdr:rowOff>
    </xdr:to>
    <xdr:sp macro="" textlink="">
      <xdr:nvSpPr>
        <xdr:cNvPr id="11" name="Rounded Rectangle 10"/>
        <xdr:cNvSpPr/>
      </xdr:nvSpPr>
      <xdr:spPr>
        <a:xfrm>
          <a:off x="1162051" y="2771774"/>
          <a:ext cx="5537199" cy="179387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a:noFill/>
            </a:ln>
            <a:solidFill>
              <a:schemeClr val="tx1"/>
            </a:solidFill>
            <a:effectLst/>
          </a:endParaRPr>
        </a:p>
      </xdr:txBody>
    </xdr:sp>
    <xdr:clientData/>
  </xdr:twoCellAnchor>
  <xdr:twoCellAnchor editAs="absolute">
    <xdr:from>
      <xdr:col>10</xdr:col>
      <xdr:colOff>295275</xdr:colOff>
      <xdr:row>0</xdr:row>
      <xdr:rowOff>57149</xdr:rowOff>
    </xdr:from>
    <xdr:to>
      <xdr:col>14</xdr:col>
      <xdr:colOff>466724</xdr:colOff>
      <xdr:row>9</xdr:row>
      <xdr:rowOff>142875</xdr:rowOff>
    </xdr:to>
    <xdr:sp macro="" textlink="">
      <xdr:nvSpPr>
        <xdr:cNvPr id="4" name="Rounded Rectangle 3"/>
        <xdr:cNvSpPr/>
      </xdr:nvSpPr>
      <xdr:spPr>
        <a:xfrm>
          <a:off x="6400800" y="57149"/>
          <a:ext cx="2609849" cy="180022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517813</xdr:colOff>
      <xdr:row>0</xdr:row>
      <xdr:rowOff>86589</xdr:rowOff>
    </xdr:from>
    <xdr:to>
      <xdr:col>19</xdr:col>
      <xdr:colOff>241589</xdr:colOff>
      <xdr:row>9</xdr:row>
      <xdr:rowOff>115164</xdr:rowOff>
    </xdr:to>
    <xdr:sp macro="" textlink="">
      <xdr:nvSpPr>
        <xdr:cNvPr id="5" name="Rounded Rectangle 4"/>
        <xdr:cNvSpPr/>
      </xdr:nvSpPr>
      <xdr:spPr>
        <a:xfrm>
          <a:off x="9021040" y="86589"/>
          <a:ext cx="2754458" cy="174307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95250</xdr:colOff>
      <xdr:row>4</xdr:row>
      <xdr:rowOff>152400</xdr:rowOff>
    </xdr:from>
    <xdr:to>
      <xdr:col>1</xdr:col>
      <xdr:colOff>504825</xdr:colOff>
      <xdr:row>22</xdr:row>
      <xdr:rowOff>114299</xdr:rowOff>
    </xdr:to>
    <xdr:sp macro="" textlink="">
      <xdr:nvSpPr>
        <xdr:cNvPr id="6" name="Rounded Rectangle 5"/>
        <xdr:cNvSpPr/>
      </xdr:nvSpPr>
      <xdr:spPr>
        <a:xfrm>
          <a:off x="95250" y="914400"/>
          <a:ext cx="1019175" cy="3390899"/>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495300</xdr:colOff>
      <xdr:row>4</xdr:row>
      <xdr:rowOff>123825</xdr:rowOff>
    </xdr:from>
    <xdr:to>
      <xdr:col>4</xdr:col>
      <xdr:colOff>85725</xdr:colOff>
      <xdr:row>10</xdr:row>
      <xdr:rowOff>47625</xdr:rowOff>
    </xdr:to>
    <xdr:sp macro="" textlink="">
      <xdr:nvSpPr>
        <xdr:cNvPr id="7" name="Rounded Rectangle 6"/>
        <xdr:cNvSpPr/>
      </xdr:nvSpPr>
      <xdr:spPr>
        <a:xfrm>
          <a:off x="1104900" y="885825"/>
          <a:ext cx="1428750" cy="10668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76201</xdr:colOff>
      <xdr:row>4</xdr:row>
      <xdr:rowOff>152401</xdr:rowOff>
    </xdr:from>
    <xdr:to>
      <xdr:col>6</xdr:col>
      <xdr:colOff>561975</xdr:colOff>
      <xdr:row>10</xdr:row>
      <xdr:rowOff>47625</xdr:rowOff>
    </xdr:to>
    <xdr:sp macro="" textlink="">
      <xdr:nvSpPr>
        <xdr:cNvPr id="8" name="Rounded Rectangle 7"/>
        <xdr:cNvSpPr/>
      </xdr:nvSpPr>
      <xdr:spPr>
        <a:xfrm>
          <a:off x="2524126" y="914401"/>
          <a:ext cx="1704974" cy="103822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590551</xdr:colOff>
      <xdr:row>4</xdr:row>
      <xdr:rowOff>123825</xdr:rowOff>
    </xdr:from>
    <xdr:to>
      <xdr:col>10</xdr:col>
      <xdr:colOff>257175</xdr:colOff>
      <xdr:row>10</xdr:row>
      <xdr:rowOff>66675</xdr:rowOff>
    </xdr:to>
    <xdr:sp macro="" textlink="">
      <xdr:nvSpPr>
        <xdr:cNvPr id="9" name="Rounded Rectangle 8"/>
        <xdr:cNvSpPr/>
      </xdr:nvSpPr>
      <xdr:spPr>
        <a:xfrm>
          <a:off x="4257676" y="885825"/>
          <a:ext cx="2105024" cy="108585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600075</xdr:colOff>
      <xdr:row>9</xdr:row>
      <xdr:rowOff>161924</xdr:rowOff>
    </xdr:from>
    <xdr:to>
      <xdr:col>19</xdr:col>
      <xdr:colOff>180975</xdr:colOff>
      <xdr:row>24</xdr:row>
      <xdr:rowOff>28575</xdr:rowOff>
    </xdr:to>
    <xdr:sp macro="" textlink="">
      <xdr:nvSpPr>
        <xdr:cNvPr id="12" name="Rounded Rectangle 11"/>
        <xdr:cNvSpPr/>
      </xdr:nvSpPr>
      <xdr:spPr>
        <a:xfrm>
          <a:off x="6705600" y="1876424"/>
          <a:ext cx="5067300" cy="272415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276226</xdr:colOff>
      <xdr:row>1</xdr:row>
      <xdr:rowOff>38101</xdr:rowOff>
    </xdr:from>
    <xdr:ext cx="4286250" cy="428623"/>
    <xdr:sp macro="" textlink="">
      <xdr:nvSpPr>
        <xdr:cNvPr id="13" name="Rectangle 12"/>
        <xdr:cNvSpPr/>
      </xdr:nvSpPr>
      <xdr:spPr>
        <a:xfrm>
          <a:off x="276226" y="228601"/>
          <a:ext cx="4286250" cy="428623"/>
        </a:xfrm>
        <a:prstGeom prst="rect">
          <a:avLst/>
        </a:prstGeom>
        <a:noFill/>
      </xdr:spPr>
      <xdr:txBody>
        <a:bodyPr wrap="square" lIns="91440" tIns="45720" rIns="91440" bIns="45720">
          <a:noAutofit/>
        </a:bodyPr>
        <a:lstStyle/>
        <a:p>
          <a:pPr algn="ctr"/>
          <a:endParaRPr lang="en-US" sz="4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76200</xdr:colOff>
      <xdr:row>0</xdr:row>
      <xdr:rowOff>76201</xdr:rowOff>
    </xdr:from>
    <xdr:to>
      <xdr:col>7</xdr:col>
      <xdr:colOff>600075</xdr:colOff>
      <xdr:row>4</xdr:row>
      <xdr:rowOff>85725</xdr:rowOff>
    </xdr:to>
    <xdr:sp macro="" textlink="">
      <xdr:nvSpPr>
        <xdr:cNvPr id="14" name="TextBox 13"/>
        <xdr:cNvSpPr txBox="1"/>
      </xdr:nvSpPr>
      <xdr:spPr>
        <a:xfrm>
          <a:off x="76200" y="76201"/>
          <a:ext cx="4791075" cy="771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Hospital</a:t>
          </a:r>
          <a:r>
            <a:rPr lang="en-US" sz="1400" b="1" baseline="0"/>
            <a:t> Emergency Room Dashboard</a:t>
          </a:r>
        </a:p>
        <a:p>
          <a:r>
            <a:rPr lang="en-US" sz="1400" b="1" baseline="0"/>
            <a:t>                                                           Monthly Report</a:t>
          </a:r>
          <a:endParaRPr lang="en-US" sz="1400" b="1"/>
        </a:p>
      </xdr:txBody>
    </xdr:sp>
    <xdr:clientData/>
  </xdr:twoCellAnchor>
  <xdr:twoCellAnchor editAs="oneCell">
    <xdr:from>
      <xdr:col>0</xdr:col>
      <xdr:colOff>0</xdr:colOff>
      <xdr:row>0</xdr:row>
      <xdr:rowOff>0</xdr:rowOff>
    </xdr:from>
    <xdr:to>
      <xdr:col>3</xdr:col>
      <xdr:colOff>95251</xdr:colOff>
      <xdr:row>5</xdr:row>
      <xdr:rowOff>28575</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33576" cy="981075"/>
        </a:xfrm>
        <a:prstGeom prst="rect">
          <a:avLst/>
        </a:prstGeom>
      </xdr:spPr>
    </xdr:pic>
    <xdr:clientData/>
  </xdr:twoCellAnchor>
  <xdr:oneCellAnchor>
    <xdr:from>
      <xdr:col>3</xdr:col>
      <xdr:colOff>371475</xdr:colOff>
      <xdr:row>1</xdr:row>
      <xdr:rowOff>180975</xdr:rowOff>
    </xdr:from>
    <xdr:ext cx="0" cy="0"/>
    <xdr:sp macro="" textlink="">
      <xdr:nvSpPr>
        <xdr:cNvPr id="16" name="TextBox 15"/>
        <xdr:cNvSpPr txBox="1"/>
      </xdr:nvSpPr>
      <xdr:spPr>
        <a:xfrm>
          <a:off x="2209800" y="371475"/>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              Monthly Report</a:t>
          </a:r>
        </a:p>
      </xdr:txBody>
    </xdr:sp>
    <xdr:clientData/>
  </xdr:oneCellAnchor>
  <xdr:twoCellAnchor editAs="absolute">
    <xdr:from>
      <xdr:col>2</xdr:col>
      <xdr:colOff>0</xdr:colOff>
      <xdr:row>7</xdr:row>
      <xdr:rowOff>9525</xdr:rowOff>
    </xdr:from>
    <xdr:to>
      <xdr:col>4</xdr:col>
      <xdr:colOff>57150</xdr:colOff>
      <xdr:row>8</xdr:row>
      <xdr:rowOff>66676</xdr:rowOff>
    </xdr:to>
    <xdr:sp macro="" textlink="">
      <xdr:nvSpPr>
        <xdr:cNvPr id="17" name="TextBox 16"/>
        <xdr:cNvSpPr txBox="1"/>
      </xdr:nvSpPr>
      <xdr:spPr>
        <a:xfrm>
          <a:off x="1228725" y="1343025"/>
          <a:ext cx="127635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b="1"/>
            <a:t> No.</a:t>
          </a:r>
          <a:r>
            <a:rPr lang="en-US" sz="1400" b="1" baseline="0"/>
            <a:t> of Patient</a:t>
          </a:r>
          <a:endParaRPr lang="en-US" sz="1400" b="1"/>
        </a:p>
      </xdr:txBody>
    </xdr:sp>
    <xdr:clientData/>
  </xdr:twoCellAnchor>
  <xdr:twoCellAnchor>
    <xdr:from>
      <xdr:col>2</xdr:col>
      <xdr:colOff>400050</xdr:colOff>
      <xdr:row>5</xdr:row>
      <xdr:rowOff>129716</xdr:rowOff>
    </xdr:from>
    <xdr:to>
      <xdr:col>3</xdr:col>
      <xdr:colOff>523876</xdr:colOff>
      <xdr:row>7</xdr:row>
      <xdr:rowOff>0</xdr:rowOff>
    </xdr:to>
    <xdr:sp macro="" textlink="'Pivot Table'!A5">
      <xdr:nvSpPr>
        <xdr:cNvPr id="20" name="TextBox 19"/>
        <xdr:cNvSpPr txBox="1"/>
      </xdr:nvSpPr>
      <xdr:spPr>
        <a:xfrm>
          <a:off x="1628775" y="1082216"/>
          <a:ext cx="733426" cy="2512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696BD5-2200-40A1-869E-B4627640BB69}" type="TxLink">
            <a:rPr lang="en-US" sz="1600" b="1" i="0" u="none" strike="noStrike">
              <a:solidFill>
                <a:srgbClr val="000000"/>
              </a:solidFill>
              <a:latin typeface="Calibri"/>
              <a:cs typeface="Calibri"/>
            </a:rPr>
            <a:pPr/>
            <a:t>493</a:t>
          </a:fld>
          <a:endParaRPr lang="en-US" sz="2400" b="1"/>
        </a:p>
      </xdr:txBody>
    </xdr:sp>
    <xdr:clientData/>
  </xdr:twoCellAnchor>
  <xdr:twoCellAnchor>
    <xdr:from>
      <xdr:col>5</xdr:col>
      <xdr:colOff>209550</xdr:colOff>
      <xdr:row>5</xdr:row>
      <xdr:rowOff>95250</xdr:rowOff>
    </xdr:from>
    <xdr:to>
      <xdr:col>6</xdr:col>
      <xdr:colOff>257175</xdr:colOff>
      <xdr:row>7</xdr:row>
      <xdr:rowOff>95250</xdr:rowOff>
    </xdr:to>
    <xdr:sp macro="" textlink="'Pivot Table'!A9">
      <xdr:nvSpPr>
        <xdr:cNvPr id="23" name="TextBox 22"/>
        <xdr:cNvSpPr txBox="1"/>
      </xdr:nvSpPr>
      <xdr:spPr>
        <a:xfrm>
          <a:off x="3267075" y="1047750"/>
          <a:ext cx="6572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885F40-2A96-4CE5-9A07-EA84725B9B77}" type="TxLink">
            <a:rPr lang="en-US" sz="1600" b="1" i="0" u="none" strike="noStrike">
              <a:solidFill>
                <a:srgbClr val="000000"/>
              </a:solidFill>
              <a:latin typeface="Calibri"/>
              <a:cs typeface="Calibri"/>
            </a:rPr>
            <a:pPr/>
            <a:t>34.93</a:t>
          </a:fld>
          <a:endParaRPr lang="en-US" sz="1600" b="1"/>
        </a:p>
      </xdr:txBody>
    </xdr:sp>
    <xdr:clientData/>
  </xdr:twoCellAnchor>
  <xdr:twoCellAnchor editAs="absolute">
    <xdr:from>
      <xdr:col>4</xdr:col>
      <xdr:colOff>171450</xdr:colOff>
      <xdr:row>6</xdr:row>
      <xdr:rowOff>152400</xdr:rowOff>
    </xdr:from>
    <xdr:to>
      <xdr:col>6</xdr:col>
      <xdr:colOff>466725</xdr:colOff>
      <xdr:row>8</xdr:row>
      <xdr:rowOff>57150</xdr:rowOff>
    </xdr:to>
    <xdr:sp macro="" textlink="">
      <xdr:nvSpPr>
        <xdr:cNvPr id="24" name="TextBox 23"/>
        <xdr:cNvSpPr txBox="1"/>
      </xdr:nvSpPr>
      <xdr:spPr>
        <a:xfrm>
          <a:off x="2619375" y="1295400"/>
          <a:ext cx="1514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b="1"/>
            <a:t>Average Wait Time</a:t>
          </a:r>
        </a:p>
      </xdr:txBody>
    </xdr:sp>
    <xdr:clientData/>
  </xdr:twoCellAnchor>
  <xdr:twoCellAnchor>
    <xdr:from>
      <xdr:col>8</xdr:col>
      <xdr:colOff>361950</xdr:colOff>
      <xdr:row>5</xdr:row>
      <xdr:rowOff>38100</xdr:rowOff>
    </xdr:from>
    <xdr:to>
      <xdr:col>9</xdr:col>
      <xdr:colOff>590550</xdr:colOff>
      <xdr:row>6</xdr:row>
      <xdr:rowOff>161925</xdr:rowOff>
    </xdr:to>
    <xdr:sp macro="" textlink="'Pivot Table'!A13">
      <xdr:nvSpPr>
        <xdr:cNvPr id="26" name="TextBox 25"/>
        <xdr:cNvSpPr txBox="1"/>
      </xdr:nvSpPr>
      <xdr:spPr>
        <a:xfrm>
          <a:off x="5248275" y="990600"/>
          <a:ext cx="8382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0F77B2-F040-4625-A5F9-AE34585F6C13}" type="TxLink">
            <a:rPr lang="en-US" sz="1600" b="1" i="0" u="none" strike="noStrike">
              <a:solidFill>
                <a:srgbClr val="000000"/>
              </a:solidFill>
              <a:latin typeface="Calibri"/>
              <a:cs typeface="Calibri"/>
            </a:rPr>
            <a:pPr/>
            <a:t>4.74</a:t>
          </a:fld>
          <a:endParaRPr lang="en-US" sz="1600" b="1"/>
        </a:p>
      </xdr:txBody>
    </xdr:sp>
    <xdr:clientData/>
  </xdr:twoCellAnchor>
  <xdr:twoCellAnchor>
    <xdr:from>
      <xdr:col>6</xdr:col>
      <xdr:colOff>600076</xdr:colOff>
      <xdr:row>6</xdr:row>
      <xdr:rowOff>123826</xdr:rowOff>
    </xdr:from>
    <xdr:to>
      <xdr:col>10</xdr:col>
      <xdr:colOff>266700</xdr:colOff>
      <xdr:row>8</xdr:row>
      <xdr:rowOff>28575</xdr:rowOff>
    </xdr:to>
    <xdr:sp macro="" textlink="">
      <xdr:nvSpPr>
        <xdr:cNvPr id="27" name="TextBox 26"/>
        <xdr:cNvSpPr txBox="1"/>
      </xdr:nvSpPr>
      <xdr:spPr>
        <a:xfrm>
          <a:off x="4267201" y="1266826"/>
          <a:ext cx="2105024"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b="1"/>
            <a:t>Patient</a:t>
          </a:r>
          <a:r>
            <a:rPr lang="en-US" sz="1400" b="1" baseline="0"/>
            <a:t> Satisfaction Score</a:t>
          </a:r>
          <a:endParaRPr lang="en-US" sz="1400" b="1"/>
        </a:p>
      </xdr:txBody>
    </xdr:sp>
    <xdr:clientData/>
  </xdr:twoCellAnchor>
  <xdr:twoCellAnchor editAs="oneCell">
    <xdr:from>
      <xdr:col>1</xdr:col>
      <xdr:colOff>523876</xdr:colOff>
      <xdr:row>4</xdr:row>
      <xdr:rowOff>142875</xdr:rowOff>
    </xdr:from>
    <xdr:to>
      <xdr:col>2</xdr:col>
      <xdr:colOff>357871</xdr:colOff>
      <xdr:row>6</xdr:row>
      <xdr:rowOff>171450</xdr:rowOff>
    </xdr:to>
    <xdr:pic>
      <xdr:nvPicPr>
        <xdr:cNvPr id="35" name="Picture 34"/>
        <xdr:cNvPicPr>
          <a:picLocks noChangeAspect="1"/>
        </xdr:cNvPicPr>
      </xdr:nvPicPr>
      <xdr:blipFill>
        <a:blip xmlns:r="http://schemas.openxmlformats.org/officeDocument/2006/relationships" r:embed="rId2"/>
        <a:stretch>
          <a:fillRect/>
        </a:stretch>
      </xdr:blipFill>
      <xdr:spPr>
        <a:xfrm>
          <a:off x="1133476" y="904875"/>
          <a:ext cx="453120" cy="409575"/>
        </a:xfrm>
        <a:prstGeom prst="rect">
          <a:avLst/>
        </a:prstGeom>
      </xdr:spPr>
    </xdr:pic>
    <xdr:clientData/>
  </xdr:twoCellAnchor>
  <xdr:twoCellAnchor editAs="oneCell">
    <xdr:from>
      <xdr:col>4</xdr:col>
      <xdr:colOff>152401</xdr:colOff>
      <xdr:row>5</xdr:row>
      <xdr:rowOff>1</xdr:rowOff>
    </xdr:from>
    <xdr:to>
      <xdr:col>4</xdr:col>
      <xdr:colOff>477079</xdr:colOff>
      <xdr:row>6</xdr:row>
      <xdr:rowOff>114301</xdr:rowOff>
    </xdr:to>
    <xdr:pic>
      <xdr:nvPicPr>
        <xdr:cNvPr id="36" name="Picture 35"/>
        <xdr:cNvPicPr>
          <a:picLocks noChangeAspect="1"/>
        </xdr:cNvPicPr>
      </xdr:nvPicPr>
      <xdr:blipFill>
        <a:blip xmlns:r="http://schemas.openxmlformats.org/officeDocument/2006/relationships" r:embed="rId3"/>
        <a:stretch>
          <a:fillRect/>
        </a:stretch>
      </xdr:blipFill>
      <xdr:spPr>
        <a:xfrm>
          <a:off x="2600326" y="952501"/>
          <a:ext cx="324678" cy="304800"/>
        </a:xfrm>
        <a:prstGeom prst="rect">
          <a:avLst/>
        </a:prstGeom>
      </xdr:spPr>
    </xdr:pic>
    <xdr:clientData/>
  </xdr:twoCellAnchor>
  <xdr:twoCellAnchor editAs="oneCell">
    <xdr:from>
      <xdr:col>7</xdr:col>
      <xdr:colOff>104774</xdr:colOff>
      <xdr:row>4</xdr:row>
      <xdr:rowOff>122844</xdr:rowOff>
    </xdr:from>
    <xdr:to>
      <xdr:col>7</xdr:col>
      <xdr:colOff>509317</xdr:colOff>
      <xdr:row>6</xdr:row>
      <xdr:rowOff>57150</xdr:rowOff>
    </xdr:to>
    <xdr:pic>
      <xdr:nvPicPr>
        <xdr:cNvPr id="37" name="Picture 36"/>
        <xdr:cNvPicPr>
          <a:picLocks noChangeAspect="1"/>
        </xdr:cNvPicPr>
      </xdr:nvPicPr>
      <xdr:blipFill>
        <a:blip xmlns:r="http://schemas.openxmlformats.org/officeDocument/2006/relationships" r:embed="rId4"/>
        <a:stretch>
          <a:fillRect/>
        </a:stretch>
      </xdr:blipFill>
      <xdr:spPr>
        <a:xfrm>
          <a:off x="4381499" y="884844"/>
          <a:ext cx="404543" cy="315306"/>
        </a:xfrm>
        <a:prstGeom prst="rect">
          <a:avLst/>
        </a:prstGeom>
      </xdr:spPr>
    </xdr:pic>
    <xdr:clientData/>
  </xdr:twoCellAnchor>
  <xdr:twoCellAnchor editAs="oneCell">
    <xdr:from>
      <xdr:col>0</xdr:col>
      <xdr:colOff>114299</xdr:colOff>
      <xdr:row>4</xdr:row>
      <xdr:rowOff>161925</xdr:rowOff>
    </xdr:from>
    <xdr:to>
      <xdr:col>1</xdr:col>
      <xdr:colOff>485774</xdr:colOff>
      <xdr:row>22</xdr:row>
      <xdr:rowOff>116205</xdr:rowOff>
    </xdr:to>
    <mc:AlternateContent xmlns:mc="http://schemas.openxmlformats.org/markup-compatibility/2006" xmlns:a14="http://schemas.microsoft.com/office/drawing/2010/main">
      <mc:Choice Requires="a14">
        <xdr:graphicFrame macro="">
          <xdr:nvGraphicFramePr>
            <xdr:cNvPr id="38"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4299" y="923925"/>
              <a:ext cx="981075" cy="338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438150</xdr:colOff>
      <xdr:row>7</xdr:row>
      <xdr:rowOff>180976</xdr:rowOff>
    </xdr:from>
    <xdr:to>
      <xdr:col>4</xdr:col>
      <xdr:colOff>123824</xdr:colOff>
      <xdr:row>11</xdr:row>
      <xdr:rowOff>57150</xdr:rowOff>
    </xdr:to>
    <xdr:graphicFrame macro="">
      <xdr:nvGraphicFramePr>
        <xdr:cNvPr id="40" name="Chart 39">
          <a:hlinkClick xmlns:r="http://schemas.openxmlformats.org/officeDocument/2006/relationships" r:id="rId5"/>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85724</xdr:colOff>
      <xdr:row>8</xdr:row>
      <xdr:rowOff>38099</xdr:rowOff>
    </xdr:from>
    <xdr:to>
      <xdr:col>6</xdr:col>
      <xdr:colOff>571499</xdr:colOff>
      <xdr:row>10</xdr:row>
      <xdr:rowOff>47625</xdr:rowOff>
    </xdr:to>
    <xdr:graphicFrame macro="">
      <xdr:nvGraphicFramePr>
        <xdr:cNvPr id="44" name="Chart 43">
          <a:hlinkClick xmlns:r="http://schemas.openxmlformats.org/officeDocument/2006/relationships" r:id="rId7"/>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533401</xdr:colOff>
      <xdr:row>8</xdr:row>
      <xdr:rowOff>38101</xdr:rowOff>
    </xdr:from>
    <xdr:to>
      <xdr:col>10</xdr:col>
      <xdr:colOff>228600</xdr:colOff>
      <xdr:row>10</xdr:row>
      <xdr:rowOff>57151</xdr:rowOff>
    </xdr:to>
    <xdr:graphicFrame macro="">
      <xdr:nvGraphicFramePr>
        <xdr:cNvPr id="29" name="Chart 28">
          <a:hlinkClick xmlns:r="http://schemas.openxmlformats.org/officeDocument/2006/relationships" r:id="rId9"/>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476250</xdr:colOff>
          <xdr:row>10</xdr:row>
          <xdr:rowOff>95250</xdr:rowOff>
        </xdr:from>
        <xdr:to>
          <xdr:col>10</xdr:col>
          <xdr:colOff>571501</xdr:colOff>
          <xdr:row>14</xdr:row>
          <xdr:rowOff>76200</xdr:rowOff>
        </xdr:to>
        <xdr:pic>
          <xdr:nvPicPr>
            <xdr:cNvPr id="47" name="Picture 46"/>
            <xdr:cNvPicPr>
              <a:picLocks noChangeAspect="1" noChangeArrowheads="1"/>
              <a:extLst>
                <a:ext uri="{84589F7E-364E-4C9E-8A38-B11213B215E9}">
                  <a14:cameraTool cellRange="'Pivot Table'!$A$45:$D$47" spid="_x0000_s1064"/>
                </a:ext>
              </a:extLst>
            </xdr:cNvPicPr>
          </xdr:nvPicPr>
          <xdr:blipFill>
            <a:blip xmlns:r="http://schemas.openxmlformats.org/officeDocument/2006/relationships" r:embed="rId11"/>
            <a:srcRect/>
            <a:stretch>
              <a:fillRect/>
            </a:stretch>
          </xdr:blipFill>
          <xdr:spPr bwMode="auto">
            <a:xfrm>
              <a:off x="1085850" y="2000250"/>
              <a:ext cx="5591176" cy="7429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xdr:spPr>
        </xdr:pic>
        <xdr:clientData/>
      </xdr:twoCellAnchor>
    </mc:Choice>
    <mc:Fallback/>
  </mc:AlternateContent>
  <xdr:twoCellAnchor>
    <xdr:from>
      <xdr:col>2</xdr:col>
      <xdr:colOff>95250</xdr:colOff>
      <xdr:row>15</xdr:row>
      <xdr:rowOff>57150</xdr:rowOff>
    </xdr:from>
    <xdr:to>
      <xdr:col>10</xdr:col>
      <xdr:colOff>457200</xdr:colOff>
      <xdr:row>23</xdr:row>
      <xdr:rowOff>95250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552450</xdr:colOff>
      <xdr:row>0</xdr:row>
      <xdr:rowOff>133350</xdr:rowOff>
    </xdr:from>
    <xdr:to>
      <xdr:col>14</xdr:col>
      <xdr:colOff>323850</xdr:colOff>
      <xdr:row>8</xdr:row>
      <xdr:rowOff>95249</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466726</xdr:colOff>
      <xdr:row>7</xdr:row>
      <xdr:rowOff>114299</xdr:rowOff>
    </xdr:from>
    <xdr:to>
      <xdr:col>14</xdr:col>
      <xdr:colOff>209550</xdr:colOff>
      <xdr:row>8</xdr:row>
      <xdr:rowOff>171450</xdr:rowOff>
    </xdr:to>
    <xdr:sp macro="" textlink="">
      <xdr:nvSpPr>
        <xdr:cNvPr id="33" name="TextBox 32"/>
        <xdr:cNvSpPr txBox="1"/>
      </xdr:nvSpPr>
      <xdr:spPr>
        <a:xfrm>
          <a:off x="6572251" y="1447799"/>
          <a:ext cx="21812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b="1" baseline="0"/>
            <a:t>Patient Attend Status</a:t>
          </a:r>
          <a:endParaRPr lang="en-US" sz="1400" b="1"/>
        </a:p>
      </xdr:txBody>
    </xdr:sp>
    <xdr:clientData/>
  </xdr:twoCellAnchor>
  <xdr:twoCellAnchor>
    <xdr:from>
      <xdr:col>14</xdr:col>
      <xdr:colOff>562841</xdr:colOff>
      <xdr:row>1</xdr:row>
      <xdr:rowOff>112568</xdr:rowOff>
    </xdr:from>
    <xdr:to>
      <xdr:col>19</xdr:col>
      <xdr:colOff>180975</xdr:colOff>
      <xdr:row>8</xdr:row>
      <xdr:rowOff>114300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15</xdr:col>
      <xdr:colOff>180974</xdr:colOff>
      <xdr:row>8</xdr:row>
      <xdr:rowOff>19049</xdr:rowOff>
    </xdr:from>
    <xdr:to>
      <xdr:col>18</xdr:col>
      <xdr:colOff>533398</xdr:colOff>
      <xdr:row>9</xdr:row>
      <xdr:rowOff>76200</xdr:rowOff>
    </xdr:to>
    <xdr:sp macro="" textlink="">
      <xdr:nvSpPr>
        <xdr:cNvPr id="39" name="TextBox 38"/>
        <xdr:cNvSpPr txBox="1"/>
      </xdr:nvSpPr>
      <xdr:spPr>
        <a:xfrm>
          <a:off x="9334499" y="1543049"/>
          <a:ext cx="21812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b="1" baseline="0"/>
            <a:t>Gender Wise Analysis</a:t>
          </a:r>
          <a:endParaRPr lang="en-US" sz="1400" b="1"/>
        </a:p>
      </xdr:txBody>
    </xdr:sp>
    <xdr:clientData/>
  </xdr:twoCellAnchor>
  <xdr:twoCellAnchor>
    <xdr:from>
      <xdr:col>11</xdr:col>
      <xdr:colOff>361950</xdr:colOff>
      <xdr:row>10</xdr:row>
      <xdr:rowOff>85725</xdr:rowOff>
    </xdr:from>
    <xdr:to>
      <xdr:col>18</xdr:col>
      <xdr:colOff>47625</xdr:colOff>
      <xdr:row>22</xdr:row>
      <xdr:rowOff>57150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11</xdr:col>
      <xdr:colOff>609599</xdr:colOff>
      <xdr:row>21</xdr:row>
      <xdr:rowOff>76200</xdr:rowOff>
    </xdr:from>
    <xdr:to>
      <xdr:col>18</xdr:col>
      <xdr:colOff>571500</xdr:colOff>
      <xdr:row>23</xdr:row>
      <xdr:rowOff>85725</xdr:rowOff>
    </xdr:to>
    <xdr:sp macro="" textlink="">
      <xdr:nvSpPr>
        <xdr:cNvPr id="42" name="TextBox 41"/>
        <xdr:cNvSpPr txBox="1"/>
      </xdr:nvSpPr>
      <xdr:spPr>
        <a:xfrm>
          <a:off x="7324724" y="4076700"/>
          <a:ext cx="422910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US" sz="1400" b="1" baseline="0"/>
            <a:t>      No. of Patient by Dept. Referal</a:t>
          </a:r>
          <a:endParaRPr lang="en-US" sz="1400" b="1"/>
        </a:p>
      </xdr:txBody>
    </xdr:sp>
    <xdr:clientData/>
  </xdr:twoCellAnchor>
  <xdr:twoCellAnchor editAs="oneCell">
    <xdr:from>
      <xdr:col>8</xdr:col>
      <xdr:colOff>123825</xdr:colOff>
      <xdr:row>0</xdr:row>
      <xdr:rowOff>171450</xdr:rowOff>
    </xdr:from>
    <xdr:to>
      <xdr:col>10</xdr:col>
      <xdr:colOff>171450</xdr:colOff>
      <xdr:row>4</xdr:row>
      <xdr:rowOff>0</xdr:rowOff>
    </xdr:to>
    <mc:AlternateContent xmlns:mc="http://schemas.openxmlformats.org/markup-compatibility/2006">
      <mc:Choice xmlns:a14="http://schemas.microsoft.com/office/drawing/2010/main" Requires="a14">
        <xdr:graphicFrame macro="">
          <xdr:nvGraphicFramePr>
            <xdr:cNvPr id="43" name="Date (Yea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010150" y="171450"/>
              <a:ext cx="1266825"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0.30306</cdr:x>
      <cdr:y>0.85924</cdr:y>
    </cdr:from>
    <cdr:to>
      <cdr:x>0.73272</cdr:x>
      <cdr:y>0.97068</cdr:y>
    </cdr:to>
    <cdr:sp macro="" textlink="">
      <cdr:nvSpPr>
        <cdr:cNvPr id="2" name="TextBox 16"/>
        <cdr:cNvSpPr txBox="1"/>
      </cdr:nvSpPr>
      <cdr:spPr>
        <a:xfrm xmlns:a="http://schemas.openxmlformats.org/drawingml/2006/main">
          <a:off x="1673934" y="1550460"/>
          <a:ext cx="2373214" cy="20108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b="1"/>
            <a:t> No.</a:t>
          </a:r>
          <a:r>
            <a:rPr lang="en-US" sz="1400" b="1" baseline="0"/>
            <a:t> of Patient by Age Group</a:t>
          </a:r>
          <a:endParaRPr lang="en-US" sz="1400" b="1"/>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38101</xdr:colOff>
      <xdr:row>0</xdr:row>
      <xdr:rowOff>38100</xdr:rowOff>
    </xdr:from>
    <xdr:to>
      <xdr:col>16</xdr:col>
      <xdr:colOff>152401</xdr:colOff>
      <xdr:row>21</xdr:row>
      <xdr:rowOff>66676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0.06055</cdr:x>
      <cdr:y>0.1494</cdr:y>
    </cdr:to>
    <cdr:pic>
      <cdr:nvPicPr>
        <cdr:cNvPr id="2" name="chart">
          <a:hlinkClick xmlns:a="http://schemas.openxmlformats.org/drawingml/2006/main" xmlns:r="http://schemas.openxmlformats.org/officeDocument/2006/relationships" r:id="rId1"/>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0" y="0"/>
          <a:ext cx="590550" cy="5905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28575</xdr:rowOff>
    </xdr:from>
    <xdr:to>
      <xdr:col>18</xdr:col>
      <xdr:colOff>352425</xdr:colOff>
      <xdr:row>18</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0.00196</cdr:x>
      <cdr:y>0</cdr:y>
    </cdr:from>
    <cdr:to>
      <cdr:x>0.0457</cdr:x>
      <cdr:y>0.1383</cdr:y>
    </cdr:to>
    <cdr:pic>
      <cdr:nvPicPr>
        <cdr:cNvPr id="2" name="chart">
          <a:hlinkClick xmlns:a="http://schemas.openxmlformats.org/drawingml/2006/main" xmlns:r="http://schemas.openxmlformats.org/officeDocument/2006/relationships" r:id="rId1"/>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22225" y="0"/>
          <a:ext cx="495300" cy="4953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9524</xdr:rowOff>
    </xdr:from>
    <xdr:to>
      <xdr:col>18</xdr:col>
      <xdr:colOff>38100</xdr:colOff>
      <xdr:row>18</xdr:row>
      <xdr:rowOff>190499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0.00088</cdr:y>
    </cdr:from>
    <cdr:to>
      <cdr:x>0.04503</cdr:x>
      <cdr:y>0.13845</cdr:y>
    </cdr:to>
    <cdr:pic>
      <cdr:nvPicPr>
        <cdr:cNvPr id="2" name="chart">
          <a:hlinkClick xmlns:a="http://schemas.openxmlformats.org/drawingml/2006/main" xmlns:r="http://schemas.openxmlformats.org/officeDocument/2006/relationships" r:id="rId1"/>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0" y="3175"/>
          <a:ext cx="495366" cy="495308"/>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3</xdr:col>
      <xdr:colOff>19051</xdr:colOff>
      <xdr:row>45</xdr:row>
      <xdr:rowOff>0</xdr:rowOff>
    </xdr:from>
    <xdr:to>
      <xdr:col>4</xdr:col>
      <xdr:colOff>28575</xdr:colOff>
      <xdr:row>47</xdr:row>
      <xdr:rowOff>19052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Vikas Yadav" refreshedDate="46053.06471875" createdVersion="5" refreshedVersion="6" minRefreshableVersion="3" recordCount="0" supportSubquery="1" supportAdvancedDrill="1">
  <cacheSource type="external" connectionId="4"/>
  <cacheFields count="4">
    <cacheField name="[Measures].[Count of Patient Id]" caption="Count of Patient Id" numFmtId="0" hierarchy="23" level="32767"/>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Vikas Yadav" refreshedDate="46053.064719444446" createdVersion="5" refreshedVersion="6" minRefreshableVersion="3" recordCount="0" supportSubquery="1" supportAdvancedDrill="1">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Vikas Yadav" refreshedDate="46053.06471979167" createdVersion="5" refreshedVersion="6" minRefreshableVersion="3" recordCount="0" supportSubquery="1" supportAdvancedDrill="1">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Vikas Yadav" refreshedDate="46053.06472037037" createdVersion="5" refreshedVersion="6" minRefreshableVersion="3" recordCount="0" supportSubquery="1" supportAdvancedDrill="1">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Vikas Yadav" refreshedDate="46053.064721180555" createdVersion="5" refreshedVersion="6" minRefreshableVersion="3" recordCount="0" supportSubquery="1" supportAdvancedDrill="1">
  <cacheSource type="external" connectionId="4"/>
  <cacheFields count="4">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Vikas Yadav" refreshedDate="46053.064721990741" createdVersion="5" refreshedVersion="6" minRefreshableVersion="3" recordCount="0" supportSubquery="1" supportAdvancedDrill="1">
  <cacheSource type="external" connectionId="4"/>
  <cacheFields count="4">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Vikas Yadav" refreshedDate="46053.064722685187" createdVersion="5" refreshedVersion="6" minRefreshableVersion="3" recordCount="0" supportSubquery="1" supportAdvancedDrill="1">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Vikas Yadav" refreshedDate="46053.06472303241" createdVersion="5" refreshedVersion="6" minRefreshableVersion="3" recordCount="0" supportSubquery="1" supportAdvancedDrill="1">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Vikas Yadav" refreshedDate="46053.064723958334" createdVersion="5" refreshedVersion="6" minRefreshableVersion="3" recordCount="0" supportSubquery="1" supportAdvancedDrill="1">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Vikas Yadav" refreshedDate="46053.06472534722" createdVersion="5" refreshedVersion="6" minRefreshableVersion="3" recordCount="0" supportSubquery="1" supportAdvancedDrill="1">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Vikas Yadav" refreshedDate="46053.064726620367" createdVersion="5" refreshedVersion="6" minRefreshableVersion="3" recordCount="0" supportSubquery="1" supportAdvancedDrill="1">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Vikas Yadav" refreshedDate="46053.06472800926" createdVersion="5" refreshedVersion="6" minRefreshableVersion="3" recordCount="0" supportSubquery="1" supportAdvancedDrill="1">
  <cacheSource type="external" connectionId="4"/>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Vikas Yadav" refreshedDate="46053.003323032404" createdVersion="3"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1]" caption="Patient Admission Date.1.1" attribute="1" time="1" defaultMemberUniqueName="[Hospital Emergency Room Data].[Patient Admission Date.1.1].[All]" allUniqueName="[Hospital Emergency Room Data].[Patient Admission Date.1.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2" cacheId="1020"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33">
  <location ref="D59:D61" firstHeaderRow="1" firstDataRow="1" firstDataCol="1"/>
  <pivotFields count="2">
    <pivotField allDrilled="1" showAll="0" dataSourceSort="1" defaultAttributeDrillState="1"/>
    <pivotField axis="axisRow" allDrilled="1" showAll="0" dataSourceSort="1" defaultAttributeDrillState="1">
      <items count="2">
        <item s="1" x="0"/>
        <item t="default"/>
      </items>
    </pivotField>
  </pivotFields>
  <rowFields count="1">
    <field x="1"/>
  </rowFields>
  <rowItems count="2">
    <i>
      <x/>
    </i>
    <i t="grand">
      <x/>
    </i>
  </rowItems>
  <formats count="10">
    <format dxfId="1072">
      <pivotArea outline="0" collapsedLevelsAreSubtotals="1" fieldPosition="0"/>
    </format>
    <format dxfId="1073">
      <pivotArea outline="0" collapsedLevelsAreSubtotals="1" fieldPosition="0"/>
    </format>
    <format dxfId="1074">
      <pivotArea outline="0" collapsedLevelsAreSubtotals="1" fieldPosition="0"/>
    </format>
    <format dxfId="1075">
      <pivotArea outline="0" collapsedLevelsAreSubtotals="1" fieldPosition="0"/>
    </format>
    <format dxfId="1076">
      <pivotArea outline="0" collapsedLevelsAreSubtotals="1" fieldPosition="0"/>
    </format>
    <format dxfId="1077">
      <pivotArea outline="0" collapsedLevelsAreSubtotals="1" fieldPosition="0"/>
    </format>
    <format dxfId="1078">
      <pivotArea outline="0" collapsedLevelsAreSubtotals="1" fieldPosition="0"/>
    </format>
    <format dxfId="1079">
      <pivotArea outline="0" collapsedLevelsAreSubtotals="1" fieldPosition="0"/>
    </format>
    <format dxfId="1080">
      <pivotArea outline="0" collapsedLevelsAreSubtotals="1" fieldPosition="0"/>
    </format>
    <format dxfId="1081">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2.xml><?xml version="1.0" encoding="utf-8"?>
<pivotTableDefinition xmlns="http://schemas.openxmlformats.org/spreadsheetml/2006/main" name="PivotTable11" cacheId="1017"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36">
  <location ref="A61:B70" firstHeaderRow="1" firstDataRow="1" firstDataCol="1"/>
  <pivotFields count="4">
    <pivotField allDrilled="1" showAll="0" dataSourceSort="1" defaultAttributeDrillState="1"/>
    <pivotField axis="axisRow" allDrilled="1" showAll="0" sortType="ascending" dataSourceSort="1"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numFmtId="1"/>
  </dataFields>
  <formats count="12">
    <format dxfId="1936">
      <pivotArea outline="0" collapsedLevelsAreSubtotals="1" fieldPosition="0"/>
    </format>
    <format dxfId="1937">
      <pivotArea outline="0" collapsedLevelsAreSubtotals="1" fieldPosition="0"/>
    </format>
    <format dxfId="1938">
      <pivotArea outline="0" collapsedLevelsAreSubtotals="1" fieldPosition="0"/>
    </format>
    <format dxfId="1939">
      <pivotArea outline="0" collapsedLevelsAreSubtotals="1" fieldPosition="0"/>
    </format>
    <format dxfId="1940">
      <pivotArea outline="0" collapsedLevelsAreSubtotals="1" fieldPosition="0"/>
    </format>
    <format dxfId="1941">
      <pivotArea outline="0" collapsedLevelsAreSubtotals="1" fieldPosition="0"/>
    </format>
    <format dxfId="1942">
      <pivotArea outline="0" collapsedLevelsAreSubtotals="1" fieldPosition="0"/>
    </format>
    <format dxfId="1943">
      <pivotArea outline="0" collapsedLevelsAreSubtotals="1" fieldPosition="0"/>
    </format>
    <format dxfId="1944">
      <pivotArea outline="0" collapsedLevelsAreSubtotals="1" fieldPosition="0"/>
    </format>
    <format dxfId="1945">
      <pivotArea outline="0" collapsedLevelsAreSubtotals="1" fieldPosition="0"/>
    </format>
    <format dxfId="1935">
      <pivotArea outline="0" collapsedLevelsAreSubtotals="1" fieldPosition="0"/>
    </format>
    <format dxfId="1934">
      <pivotArea outline="0" collapsedLevelsAreSubtotals="1" fieldPosition="0"/>
    </format>
  </formats>
  <chartFormats count="2">
    <chartFormat chart="33" format="1"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3.xml><?xml version="1.0" encoding="utf-8"?>
<pivotTableDefinition xmlns="http://schemas.openxmlformats.org/spreadsheetml/2006/main" name="PivotTable10" cacheId="1014"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33">
  <location ref="A56:B59"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formats count="10">
    <format dxfId="1946">
      <pivotArea outline="0" collapsedLevelsAreSubtotals="1" fieldPosition="0"/>
    </format>
    <format dxfId="1947">
      <pivotArea outline="0" collapsedLevelsAreSubtotals="1" fieldPosition="0"/>
    </format>
    <format dxfId="1948">
      <pivotArea outline="0" collapsedLevelsAreSubtotals="1" fieldPosition="0"/>
    </format>
    <format dxfId="1949">
      <pivotArea outline="0" collapsedLevelsAreSubtotals="1" fieldPosition="0"/>
    </format>
    <format dxfId="1950">
      <pivotArea outline="0" collapsedLevelsAreSubtotals="1" fieldPosition="0"/>
    </format>
    <format dxfId="1951">
      <pivotArea outline="0" collapsedLevelsAreSubtotals="1" fieldPosition="0"/>
    </format>
    <format dxfId="1952">
      <pivotArea outline="0" collapsedLevelsAreSubtotals="1" fieldPosition="0"/>
    </format>
    <format dxfId="1953">
      <pivotArea outline="0" collapsedLevelsAreSubtotals="1" fieldPosition="0"/>
    </format>
    <format dxfId="1954">
      <pivotArea outline="0" collapsedLevelsAreSubtotals="1" fieldPosition="0"/>
    </format>
    <format dxfId="1955">
      <pivotArea outline="0" collapsedLevelsAreSubtotals="1" fieldPosition="0"/>
    </format>
  </formats>
  <chartFormats count="3">
    <chartFormat chart="32" format="12" series="1">
      <pivotArea type="data" outline="0" fieldPosition="0">
        <references count="1">
          <reference field="4294967294" count="1" selected="0">
            <x v="0"/>
          </reference>
        </references>
      </pivotArea>
    </chartFormat>
    <chartFormat chart="32" format="13">
      <pivotArea type="data" outline="0" fieldPosition="0">
        <references count="2">
          <reference field="4294967294" count="1" selected="0">
            <x v="0"/>
          </reference>
          <reference field="1" count="1" selected="0">
            <x v="0"/>
          </reference>
        </references>
      </pivotArea>
    </chartFormat>
    <chartFormat chart="32" format="14">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4.xml><?xml version="1.0" encoding="utf-8"?>
<pivotTableDefinition xmlns="http://schemas.openxmlformats.org/spreadsheetml/2006/main" name="PivotTable9" cacheId="1011"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28">
  <location ref="A50:B53"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4">
    <format dxfId="1960">
      <pivotArea outline="0" collapsedLevelsAreSubtotals="1" fieldPosition="0"/>
    </format>
    <format dxfId="1961">
      <pivotArea outline="0" collapsedLevelsAreSubtotals="1" fieldPosition="0"/>
    </format>
    <format dxfId="1962">
      <pivotArea outline="0" collapsedLevelsAreSubtotals="1" fieldPosition="0"/>
    </format>
    <format dxfId="1963">
      <pivotArea outline="0" collapsedLevelsAreSubtotals="1" fieldPosition="0"/>
    </format>
    <format dxfId="1964">
      <pivotArea outline="0" collapsedLevelsAreSubtotals="1" fieldPosition="0"/>
    </format>
    <format dxfId="1965">
      <pivotArea outline="0" collapsedLevelsAreSubtotals="1" fieldPosition="0"/>
    </format>
    <format dxfId="1966">
      <pivotArea outline="0" collapsedLevelsAreSubtotals="1" fieldPosition="0"/>
    </format>
    <format dxfId="1967">
      <pivotArea outline="0" collapsedLevelsAreSubtotals="1" fieldPosition="0"/>
    </format>
    <format dxfId="1968">
      <pivotArea outline="0" collapsedLevelsAreSubtotals="1" fieldPosition="0"/>
    </format>
    <format dxfId="1969">
      <pivotArea outline="0" collapsedLevelsAreSubtotals="1" fieldPosition="0"/>
    </format>
    <format dxfId="1959">
      <pivotArea collapsedLevelsAreSubtotals="1" fieldPosition="0">
        <references count="1">
          <reference field="1" count="0"/>
        </references>
      </pivotArea>
    </format>
    <format dxfId="1958">
      <pivotArea collapsedLevelsAreSubtotals="1" fieldPosition="0">
        <references count="1">
          <reference field="1" count="0"/>
        </references>
      </pivotArea>
    </format>
    <format dxfId="1957">
      <pivotArea collapsedLevelsAreSubtotals="1" fieldPosition="0">
        <references count="1">
          <reference field="1" count="0"/>
        </references>
      </pivotArea>
    </format>
    <format dxfId="1956">
      <pivotArea collapsedLevelsAreSubtotals="1" fieldPosition="0">
        <references count="1">
          <reference field="1" count="0"/>
        </references>
      </pivotArea>
    </format>
  </formats>
  <chartFormats count="3">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1" count="1" selected="0">
            <x v="0"/>
          </reference>
        </references>
      </pivotArea>
    </chartFormat>
    <chartFormat chart="25" format="7">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5.xml><?xml version="1.0" encoding="utf-8"?>
<pivotTableDefinition xmlns="http://schemas.openxmlformats.org/spreadsheetml/2006/main" name="PivotTable8" cacheId="1008"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23">
  <location ref="F45:G54"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2">
    <format dxfId="1974">
      <pivotArea outline="0" collapsedLevelsAreSubtotals="1" fieldPosition="0"/>
    </format>
    <format dxfId="1975">
      <pivotArea outline="0" collapsedLevelsAreSubtotals="1" fieldPosition="0"/>
    </format>
    <format dxfId="1976">
      <pivotArea outline="0" collapsedLevelsAreSubtotals="1" fieldPosition="0"/>
    </format>
    <format dxfId="1977">
      <pivotArea outline="0" collapsedLevelsAreSubtotals="1" fieldPosition="0"/>
    </format>
    <format dxfId="1978">
      <pivotArea outline="0" collapsedLevelsAreSubtotals="1" fieldPosition="0"/>
    </format>
    <format dxfId="1979">
      <pivotArea outline="0" collapsedLevelsAreSubtotals="1" fieldPosition="0"/>
    </format>
    <format dxfId="1980">
      <pivotArea outline="0" collapsedLevelsAreSubtotals="1" fieldPosition="0"/>
    </format>
    <format dxfId="1981">
      <pivotArea outline="0" collapsedLevelsAreSubtotals="1" fieldPosition="0"/>
    </format>
    <format dxfId="1982">
      <pivotArea outline="0" collapsedLevelsAreSubtotals="1" fieldPosition="0"/>
    </format>
    <format dxfId="1983">
      <pivotArea outline="0" collapsedLevelsAreSubtotals="1" fieldPosition="0"/>
    </format>
    <format dxfId="1971">
      <pivotArea collapsedLevelsAreSubtotals="1" fieldPosition="0">
        <references count="1">
          <reference field="1" count="0"/>
        </references>
      </pivotArea>
    </format>
    <format dxfId="1970">
      <pivotArea collapsedLevelsAreSubtotals="1" fieldPosition="0">
        <references count="1">
          <reference field="1" count="0"/>
        </references>
      </pivotArea>
    </format>
  </formats>
  <chartFormats count="1">
    <chartFormat chart="22"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6.xml><?xml version="1.0" encoding="utf-8"?>
<pivotTableDefinition xmlns="http://schemas.openxmlformats.org/spreadsheetml/2006/main" name="PivotTable4" cacheId="987" applyNumberFormats="0" applyBorderFormats="0" applyFontFormats="0" applyPatternFormats="0" applyAlignmentFormats="0" applyWidthHeightFormats="1" dataCaption="Values" tag="9d896d62-3d2c-41d1-a9d3-f5fba777a0b6" updatedVersion="6" minRefreshableVersion="3" useAutoFormatting="1" subtotalHiddenItems="1" itemPrintTitles="1" createdVersion="5" indent="0" outline="1" outlineData="1" multipleFieldFilters="0" chartFormat="9">
  <location ref="C4:D36" firstHeaderRow="1" firstDataRow="1" firstDataCol="1"/>
  <pivotFields count="4">
    <pivotField dataField="1" showAll="0"/>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allDrilled="1" showAll="0" dataSourceSort="1"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6" format="9"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7.xml><?xml version="1.0" encoding="utf-8"?>
<pivotTableDefinition xmlns="http://schemas.openxmlformats.org/spreadsheetml/2006/main" name="PivotTable1" cacheId="990" applyNumberFormats="0" applyBorderFormats="0" applyFontFormats="0" applyPatternFormats="0" applyAlignmentFormats="0" applyWidthHeightFormats="1" dataCaption="Values" tag="280d278d-dfed-46ce-b068-63ab2d2c6640" updatedVersion="6" minRefreshableVersion="3" useAutoFormatting="1" itemPrintTitles="1" createdVersion="5" indent="0" outline="1" outlineData="1" multipleFieldFilters="0">
  <location ref="A4:A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8.xml><?xml version="1.0" encoding="utf-8"?>
<pivotTableDefinition xmlns="http://schemas.openxmlformats.org/spreadsheetml/2006/main" name="PivotTable7" cacheId="1005" applyNumberFormats="0" applyBorderFormats="0" applyFontFormats="0" applyPatternFormats="0" applyAlignmentFormats="0" applyWidthHeightFormats="1" dataCaption="Values" tag="f87f59c6-06d8-4415-b422-d98f6dd80e7d" updatedVersion="6" minRefreshableVersion="3" subtotalHiddenItems="1" itemPrintTitles="1" createdVersion="5" indent="0" outline="1" outlineData="1" multipleFieldFilters="0" chartFormat="4">
  <location ref="A39:C42" firstHeaderRow="0" firstDataRow="1" firstDataCol="1"/>
  <pivotFields count="5">
    <pivotField allDrilled="1" showAll="0" dataSourceSort="1" defaultAttributeDrillState="1"/>
    <pivotField dataField="1" showAll="0"/>
    <pivotField axis="axisRow" allDrilled="1" showAll="0" dataSourceSort="1" defaultAttributeDrillState="1">
      <items count="3">
        <item x="0"/>
        <item x="1"/>
        <item t="default"/>
      </items>
    </pivotField>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9">
      <extLst>
        <ext xmlns:x14="http://schemas.microsoft.com/office/spreadsheetml/2009/9/main" uri="{E15A36E0-9728-4e99-A89B-3F7291B0FE68}">
          <x14:dataField sourceField="1" uniqueName="[__Xl2].[Measures].[Count of Patient Admission Flag]"/>
        </ext>
      </extLst>
    </dataField>
  </dataFields>
  <formats count="12">
    <format dxfId="1995">
      <pivotArea outline="0" collapsedLevelsAreSubtotals="1" fieldPosition="0"/>
    </format>
    <format dxfId="1994">
      <pivotArea outline="0" collapsedLevelsAreSubtotals="1" fieldPosition="0"/>
    </format>
    <format dxfId="1993">
      <pivotArea outline="0" collapsedLevelsAreSubtotals="1" fieldPosition="0"/>
    </format>
    <format dxfId="1992">
      <pivotArea outline="0" collapsedLevelsAreSubtotals="1" fieldPosition="0"/>
    </format>
    <format dxfId="1991">
      <pivotArea outline="0" collapsedLevelsAreSubtotals="1" fieldPosition="0"/>
    </format>
    <format dxfId="1990">
      <pivotArea outline="0" collapsedLevelsAreSubtotals="1" fieldPosition="0"/>
    </format>
    <format dxfId="1989">
      <pivotArea outline="0" collapsedLevelsAreSubtotals="1" fieldPosition="0"/>
    </format>
    <format dxfId="1988">
      <pivotArea outline="0" collapsedLevelsAreSubtotals="1" fieldPosition="0"/>
    </format>
    <format dxfId="1987">
      <pivotArea outline="0" collapsedLevelsAreSubtotals="1" fieldPosition="0"/>
    </format>
    <format dxfId="1986">
      <pivotArea outline="0" fieldPosition="0">
        <references count="1">
          <reference field="4294967294" count="1">
            <x v="1"/>
          </reference>
        </references>
      </pivotArea>
    </format>
    <format dxfId="1985">
      <pivotArea outline="0" collapsedLevelsAreSubtotals="1" fieldPosition="0">
        <references count="1">
          <reference field="4294967294" count="1" selected="0">
            <x v="1"/>
          </reference>
        </references>
      </pivotArea>
    </format>
    <format dxfId="1984">
      <pivotArea outline="0" collapsedLevelsAreSubtotals="1" fieldPosition="0">
        <references count="1">
          <reference field="4294967294" count="1" selected="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9.xml><?xml version="1.0" encoding="utf-8"?>
<pivotTableDefinition xmlns="http://schemas.openxmlformats.org/spreadsheetml/2006/main" name="PivotTable2" cacheId="993" applyNumberFormats="0" applyBorderFormats="0" applyFontFormats="0" applyPatternFormats="0" applyAlignmentFormats="0" applyWidthHeightFormats="1" dataCaption="Values" tag="a63403a4-38a4-495f-b0b1-539fb63f2c96" updatedVersion="6" minRefreshableVersion="3" useAutoFormatting="1" itemPrintTitles="1" createdVersion="5" indent="0" outline="1" outlineData="1" multipleFieldFilters="0">
  <location ref="A8:A9"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1" numFmtId="2"/>
  </dataFields>
  <formats count="10">
    <format dxfId="2005">
      <pivotArea outline="0" collapsedLevelsAreSubtotals="1" fieldPosition="0">
        <references count="1">
          <reference field="4294967294" count="1" selected="0">
            <x v="0"/>
          </reference>
        </references>
      </pivotArea>
    </format>
    <format dxfId="2004">
      <pivotArea outline="0" collapsedLevelsAreSubtotals="1" fieldPosition="0">
        <references count="1">
          <reference field="4294967294" count="1" selected="0">
            <x v="0"/>
          </reference>
        </references>
      </pivotArea>
    </format>
    <format dxfId="2003">
      <pivotArea outline="0" collapsedLevelsAreSubtotals="1" fieldPosition="0">
        <references count="1">
          <reference field="4294967294" count="1" selected="0">
            <x v="0"/>
          </reference>
        </references>
      </pivotArea>
    </format>
    <format dxfId="2002">
      <pivotArea outline="0" collapsedLevelsAreSubtotals="1" fieldPosition="0">
        <references count="1">
          <reference field="4294967294" count="1" selected="0">
            <x v="0"/>
          </reference>
        </references>
      </pivotArea>
    </format>
    <format dxfId="2001">
      <pivotArea outline="0" collapsedLevelsAreSubtotals="1" fieldPosition="0">
        <references count="1">
          <reference field="4294967294" count="1" selected="0">
            <x v="0"/>
          </reference>
        </references>
      </pivotArea>
    </format>
    <format dxfId="2000">
      <pivotArea outline="0" collapsedLevelsAreSubtotals="1" fieldPosition="0">
        <references count="1">
          <reference field="4294967294" count="1" selected="0">
            <x v="0"/>
          </reference>
        </references>
      </pivotArea>
    </format>
    <format dxfId="1999">
      <pivotArea outline="0" collapsedLevelsAreSubtotals="1" fieldPosition="0">
        <references count="1">
          <reference field="4294967294" count="1" selected="0">
            <x v="0"/>
          </reference>
        </references>
      </pivotArea>
    </format>
    <format dxfId="1998">
      <pivotArea outline="0" collapsedLevelsAreSubtotals="1" fieldPosition="0">
        <references count="1">
          <reference field="4294967294" count="1" selected="0">
            <x v="0"/>
          </reference>
        </references>
      </pivotArea>
    </format>
    <format dxfId="1997">
      <pivotArea outline="0" collapsedLevelsAreSubtotals="1" fieldPosition="0">
        <references count="1">
          <reference field="4294967294" count="1" selected="0">
            <x v="0"/>
          </reference>
        </references>
      </pivotArea>
    </format>
    <format dxfId="1996">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0.xml><?xml version="1.0" encoding="utf-8"?>
<pivotTableDefinition xmlns="http://schemas.openxmlformats.org/spreadsheetml/2006/main" name="PivotTable3" cacheId="996" applyNumberFormats="0" applyBorderFormats="0" applyFontFormats="0" applyPatternFormats="0" applyAlignmentFormats="0" applyWidthHeightFormats="1" dataCaption="Values" tag="f87f59c6-06d8-4415-b422-d98f6dd80e7d" updatedVersion="6" minRefreshableVersion="3" useAutoFormatting="1" itemPrintTitles="1" createdVersion="5" indent="0" outline="1" outlineData="1" multipleFieldFilters="0">
  <location ref="A12:A1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0" numFmtId="2"/>
  </dataFields>
  <formats count="9">
    <format dxfId="2014">
      <pivotArea outline="0" collapsedLevelsAreSubtotals="1" fieldPosition="0"/>
    </format>
    <format dxfId="2013">
      <pivotArea outline="0" collapsedLevelsAreSubtotals="1" fieldPosition="0"/>
    </format>
    <format dxfId="2012">
      <pivotArea outline="0" collapsedLevelsAreSubtotals="1" fieldPosition="0"/>
    </format>
    <format dxfId="2011">
      <pivotArea outline="0" collapsedLevelsAreSubtotals="1" fieldPosition="0"/>
    </format>
    <format dxfId="2010">
      <pivotArea outline="0" collapsedLevelsAreSubtotals="1" fieldPosition="0"/>
    </format>
    <format dxfId="2009">
      <pivotArea outline="0" collapsedLevelsAreSubtotals="1" fieldPosition="0"/>
    </format>
    <format dxfId="2008">
      <pivotArea outline="0" collapsedLevelsAreSubtotals="1" fieldPosition="0"/>
    </format>
    <format dxfId="2007">
      <pivotArea outline="0" collapsedLevelsAreSubtotals="1" fieldPosition="0"/>
    </format>
    <format dxfId="2006">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1.xml><?xml version="1.0" encoding="utf-8"?>
<pivotTableDefinition xmlns="http://schemas.openxmlformats.org/spreadsheetml/2006/main" name="PivotTable6" cacheId="1002"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27">
  <location ref="I4:J36"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0">
    <format dxfId="2024">
      <pivotArea outline="0" collapsedLevelsAreSubtotals="1" fieldPosition="0"/>
    </format>
    <format dxfId="2023">
      <pivotArea outline="0" collapsedLevelsAreSubtotals="1" fieldPosition="0"/>
    </format>
    <format dxfId="2022">
      <pivotArea outline="0" collapsedLevelsAreSubtotals="1" fieldPosition="0"/>
    </format>
    <format dxfId="2021">
      <pivotArea outline="0" collapsedLevelsAreSubtotals="1" fieldPosition="0"/>
    </format>
    <format dxfId="2020">
      <pivotArea outline="0" collapsedLevelsAreSubtotals="1" fieldPosition="0"/>
    </format>
    <format dxfId="2019">
      <pivotArea outline="0" collapsedLevelsAreSubtotals="1" fieldPosition="0"/>
    </format>
    <format dxfId="2018">
      <pivotArea outline="0" collapsedLevelsAreSubtotals="1" fieldPosition="0"/>
    </format>
    <format dxfId="2017">
      <pivotArea outline="0" collapsedLevelsAreSubtotals="1" fieldPosition="0"/>
    </format>
    <format dxfId="2016">
      <pivotArea outline="0" collapsedLevelsAreSubtotals="1" fieldPosition="0"/>
    </format>
    <format dxfId="2015">
      <pivotArea outline="0" collapsedLevelsAreSubtotals="1" fieldPosition="0"/>
    </format>
  </formats>
  <chartFormats count="3">
    <chartFormat chart="22" format="3"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12.xml><?xml version="1.0" encoding="utf-8"?>
<pivotTableDefinition xmlns="http://schemas.openxmlformats.org/spreadsheetml/2006/main" name="PivotTable5" cacheId="999" applyNumberFormats="0" applyBorderFormats="0" applyFontFormats="0" applyPatternFormats="0" applyAlignmentFormats="0" applyWidthHeightFormats="1" dataCaption="Values" tag="a7e1927f-65a7-4c23-9a56-e3274ee40dde" updatedVersion="6" minRefreshableVersion="3" useAutoFormatting="1" subtotalHiddenItems="1" itemPrintTitles="1" createdVersion="5" indent="0" outline="1" outlineData="1" multipleFieldFilters="0" chartFormat="20">
  <location ref="F4:G36"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allDrilled="1" showAll="0" dataSourceSort="1" defaultAttributeDrillState="1"/>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2"/>
  </dataFields>
  <formats count="10">
    <format dxfId="2034">
      <pivotArea outline="0" collapsedLevelsAreSubtotals="1" fieldPosition="0"/>
    </format>
    <format dxfId="2033">
      <pivotArea outline="0" collapsedLevelsAreSubtotals="1" fieldPosition="0"/>
    </format>
    <format dxfId="2032">
      <pivotArea outline="0" collapsedLevelsAreSubtotals="1" fieldPosition="0"/>
    </format>
    <format dxfId="2031">
      <pivotArea outline="0" collapsedLevelsAreSubtotals="1" fieldPosition="0"/>
    </format>
    <format dxfId="2030">
      <pivotArea outline="0" collapsedLevelsAreSubtotals="1" fieldPosition="0"/>
    </format>
    <format dxfId="2029">
      <pivotArea outline="0" collapsedLevelsAreSubtotals="1" fieldPosition="0"/>
    </format>
    <format dxfId="2028">
      <pivotArea outline="0" collapsedLevelsAreSubtotals="1" fieldPosition="0"/>
    </format>
    <format dxfId="2027">
      <pivotArea outline="0" collapsedLevelsAreSubtotals="1" fieldPosition="0"/>
    </format>
    <format dxfId="2026">
      <pivotArea outline="0" collapsedLevelsAreSubtotals="1" fieldPosition="0"/>
    </format>
    <format dxfId="2025">
      <pivotArea outline="0" collapsedLevelsAreSubtotals="1" fieldPosition="0"/>
    </format>
  </formats>
  <chartFormats count="5">
    <chartFormat chart="9" format="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1.1]" tableColumnId="2"/>
      <queryTableField id="3" name="Hospital Emergency Room Data[Patient Admission Date.2]"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er_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2">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nd="1"/>
              <i n="[Calender_Table].[Date (Month)].&amp;[Feb]" c="Feb" nd="1"/>
              <i n="[Calender_Table].[Date (Month)].&amp;[Mar]" c="Mar" nd="1"/>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er_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Month)" cache="Slicer_Date__Month" caption="Date (Month)" showCaption="0" level="1" style="SlicerStyleDark2" rowHeight="274320"/>
  <slicer name="Date (Year)" cache="Slicer_Date__Year" caption="Date (Year)" columnCount="2" showCaption="0" level="1" style="mySlic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ExternalData_1" displayName="Table_ExternalData_1" ref="A3:M132" tableType="queryTable" totalsRowShown="0">
  <autoFilter ref="A3:M132"/>
  <tableColumns count="13">
    <tableColumn id="1" uniqueName="1" name="Hospital Emergency Room Data[Patient Id]" queryTableFieldId="1"/>
    <tableColumn id="2" uniqueName="2" name="Hospital Emergency Room Data[Patient Admission Date.1.1]" queryTableFieldId="2" dataDxfId="1973"/>
    <tableColumn id="3" uniqueName="3" name="Hospital Emergency Room Data[Patient Admission Date.2]" queryTableFieldId="3" dataDxfId="1972"/>
    <tableColumn id="4" uniqueName="4" name="Hospital Emergency Room Data[Merged]" queryTableFieldId="4"/>
    <tableColumn id="5" uniqueName="5" name="Hospital Emergency Room Data[Patient Gender]" queryTableFieldId="5"/>
    <tableColumn id="6" uniqueName="6" name="Hospital Emergency Room Data[Patient Age]" queryTableFieldId="6"/>
    <tableColumn id="7" uniqueName="7" name="Hospital Emergency Room Data[Patient Race]" queryTableFieldId="7"/>
    <tableColumn id="8" uniqueName="8" name="Hospital Emergency Room Data[Department Referral]" queryTableFieldId="8"/>
    <tableColumn id="9" uniqueName="9" name="Hospital Emergency Room Data[Patient Admission Flag]" queryTableFieldId="9"/>
    <tableColumn id="10" uniqueName="10" name="Hospital Emergency Room Data[Patient Satisfaction Score]" queryTableFieldId="10"/>
    <tableColumn id="11" uniqueName="11" name="Hospital Emergency Room Data[Patient Waittime]" queryTableFieldId="11"/>
    <tableColumn id="12" uniqueName="12" name="Hospital Emergency Room Data[Age Group]" queryTableFieldId="12"/>
    <tableColumn id="13"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53"/>
  <sheetViews>
    <sheetView showGridLines="0" tabSelected="1" zoomScaleNormal="100" workbookViewId="0"/>
  </sheetViews>
  <sheetFormatPr defaultRowHeight="15" x14ac:dyDescent="0.25"/>
  <cols>
    <col min="2" max="2" width="9.28515625" customWidth="1"/>
  </cols>
  <sheetData>
    <row r="1" spans="1:21" x14ac:dyDescent="0.25">
      <c r="A1" s="3"/>
      <c r="B1" s="3"/>
      <c r="C1" s="3"/>
      <c r="D1" s="3"/>
      <c r="E1" s="3"/>
      <c r="F1" s="3"/>
      <c r="G1" s="3"/>
      <c r="H1" s="3"/>
      <c r="I1" s="3"/>
      <c r="J1" s="3"/>
      <c r="K1" s="3"/>
      <c r="L1" s="3"/>
      <c r="M1" s="3"/>
      <c r="N1" s="3"/>
      <c r="O1" s="3"/>
      <c r="P1" s="3"/>
      <c r="Q1" s="3"/>
      <c r="R1" s="3"/>
      <c r="S1" s="3"/>
      <c r="T1" s="3"/>
      <c r="U1" s="3"/>
    </row>
    <row r="2" spans="1:21" x14ac:dyDescent="0.25">
      <c r="A2" s="3"/>
      <c r="B2" s="3"/>
      <c r="C2" s="3"/>
      <c r="D2" s="3"/>
      <c r="E2" s="4"/>
      <c r="F2" s="3"/>
      <c r="G2" s="3"/>
      <c r="H2" s="3"/>
      <c r="I2" s="3"/>
      <c r="J2" s="3"/>
      <c r="K2" s="3"/>
      <c r="L2" s="3"/>
      <c r="M2" s="3"/>
      <c r="N2" s="3"/>
      <c r="O2" s="3"/>
      <c r="P2" s="3"/>
      <c r="Q2" s="3"/>
      <c r="R2" s="3"/>
      <c r="S2" s="3"/>
      <c r="T2" s="3"/>
      <c r="U2" s="3"/>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row r="23" spans="1:21" x14ac:dyDescent="0.25">
      <c r="A23" s="3"/>
      <c r="B23" s="3"/>
      <c r="C23" s="3"/>
      <c r="D23" s="3"/>
      <c r="E23" s="3"/>
      <c r="F23" s="3"/>
      <c r="G23" s="3"/>
      <c r="H23" s="3"/>
      <c r="I23" s="3"/>
      <c r="J23" s="3"/>
      <c r="K23" s="3"/>
      <c r="L23" s="3"/>
      <c r="M23" s="3"/>
      <c r="N23" s="3"/>
      <c r="O23" s="3"/>
      <c r="P23" s="3"/>
      <c r="Q23" s="3"/>
      <c r="R23" s="3"/>
      <c r="S23" s="3"/>
      <c r="T23" s="3"/>
      <c r="U23" s="3"/>
    </row>
    <row r="24" spans="1:21" x14ac:dyDescent="0.25">
      <c r="A24" s="3"/>
      <c r="B24" s="3"/>
      <c r="C24" s="3"/>
      <c r="D24" s="3"/>
      <c r="E24" s="3"/>
      <c r="F24" s="3"/>
      <c r="G24" s="3"/>
      <c r="H24" s="3"/>
      <c r="I24" s="3"/>
      <c r="J24" s="3"/>
      <c r="K24" s="3"/>
      <c r="L24" s="3"/>
      <c r="M24" s="3"/>
      <c r="N24" s="3"/>
      <c r="O24" s="3"/>
      <c r="P24" s="3"/>
      <c r="Q24" s="3"/>
      <c r="R24" s="3"/>
      <c r="S24" s="3"/>
      <c r="T24" s="3"/>
      <c r="U24" s="3"/>
    </row>
    <row r="25" spans="1:21" x14ac:dyDescent="0.25">
      <c r="A25" s="3"/>
      <c r="B25" s="3"/>
      <c r="C25" s="3"/>
      <c r="D25" s="3"/>
      <c r="E25" s="3"/>
      <c r="F25" s="3"/>
      <c r="G25" s="3"/>
      <c r="H25" s="3"/>
      <c r="I25" s="3"/>
      <c r="J25" s="3"/>
      <c r="K25" s="3"/>
      <c r="L25" s="3"/>
      <c r="M25" s="3"/>
      <c r="N25" s="3"/>
      <c r="O25" s="3"/>
      <c r="P25" s="3"/>
      <c r="Q25" s="3"/>
      <c r="R25" s="3"/>
      <c r="S25" s="3"/>
      <c r="T25" s="3"/>
      <c r="U25" s="3"/>
    </row>
    <row r="26" spans="1:21" x14ac:dyDescent="0.25">
      <c r="A26" s="5"/>
      <c r="B26" s="5"/>
      <c r="C26" s="5"/>
      <c r="D26" s="5"/>
      <c r="E26" s="5"/>
      <c r="F26" s="5"/>
      <c r="G26" s="5"/>
      <c r="H26" s="5"/>
      <c r="I26" s="5"/>
      <c r="J26" s="5"/>
      <c r="K26" s="5"/>
      <c r="L26" s="5"/>
      <c r="M26" s="5"/>
      <c r="N26" s="5"/>
      <c r="O26" s="5"/>
      <c r="P26" s="5"/>
      <c r="Q26" s="5"/>
      <c r="R26" s="5"/>
      <c r="S26" s="5"/>
      <c r="T26" s="5"/>
      <c r="U26" s="5"/>
    </row>
    <row r="27" spans="1:21" x14ac:dyDescent="0.25">
      <c r="A27" s="5"/>
      <c r="B27" s="5"/>
      <c r="C27" s="5"/>
      <c r="D27" s="5"/>
      <c r="E27" s="5"/>
      <c r="F27" s="5"/>
      <c r="G27" s="5"/>
      <c r="H27" s="5"/>
      <c r="I27" s="5"/>
      <c r="J27" s="5"/>
      <c r="K27" s="5"/>
      <c r="L27" s="5"/>
      <c r="M27" s="5"/>
      <c r="N27" s="5"/>
      <c r="O27" s="5"/>
      <c r="P27" s="5"/>
      <c r="Q27" s="5"/>
      <c r="R27" s="5"/>
      <c r="S27" s="5"/>
      <c r="T27" s="5"/>
      <c r="U27" s="5"/>
    </row>
    <row r="28" spans="1:21" x14ac:dyDescent="0.25">
      <c r="A28" s="5"/>
      <c r="B28" s="5"/>
      <c r="C28" s="5"/>
      <c r="D28" s="5"/>
      <c r="E28" s="5"/>
      <c r="F28" s="5"/>
      <c r="G28" s="5"/>
      <c r="H28" s="5"/>
      <c r="I28" s="5"/>
      <c r="J28" s="5"/>
      <c r="K28" s="5"/>
      <c r="L28" s="5"/>
      <c r="M28" s="5"/>
      <c r="N28" s="5"/>
      <c r="O28" s="5"/>
      <c r="P28" s="5"/>
      <c r="Q28" s="5"/>
      <c r="R28" s="5"/>
      <c r="S28" s="5"/>
      <c r="T28" s="5"/>
      <c r="U28" s="5"/>
    </row>
    <row r="29" spans="1:21" x14ac:dyDescent="0.25">
      <c r="A29" s="5"/>
      <c r="B29" s="5"/>
      <c r="C29" s="5"/>
      <c r="D29" s="5"/>
      <c r="E29" s="5"/>
      <c r="F29" s="5"/>
      <c r="G29" s="5"/>
      <c r="H29" s="5"/>
      <c r="I29" s="5"/>
      <c r="J29" s="5"/>
      <c r="K29" s="5"/>
      <c r="L29" s="5"/>
      <c r="M29" s="5"/>
      <c r="N29" s="5"/>
      <c r="O29" s="5"/>
      <c r="P29" s="5"/>
      <c r="Q29" s="5"/>
      <c r="R29" s="5"/>
      <c r="S29" s="5"/>
      <c r="T29" s="5"/>
      <c r="U29" s="5"/>
    </row>
    <row r="30" spans="1:21" x14ac:dyDescent="0.25">
      <c r="A30" s="5"/>
      <c r="B30" s="5"/>
      <c r="C30" s="5"/>
      <c r="D30" s="5"/>
      <c r="E30" s="5"/>
      <c r="F30" s="5"/>
      <c r="G30" s="5"/>
      <c r="H30" s="5"/>
      <c r="I30" s="5"/>
      <c r="J30" s="5"/>
      <c r="K30" s="5"/>
      <c r="L30" s="5"/>
      <c r="M30" s="5"/>
      <c r="N30" s="5"/>
      <c r="O30" s="5"/>
      <c r="P30" s="5"/>
      <c r="Q30" s="5"/>
      <c r="R30" s="5"/>
      <c r="S30" s="5"/>
      <c r="T30" s="5"/>
      <c r="U30" s="5"/>
    </row>
    <row r="31" spans="1:21" x14ac:dyDescent="0.25">
      <c r="A31" s="5"/>
      <c r="B31" s="5"/>
      <c r="C31" s="5"/>
      <c r="D31" s="5"/>
      <c r="E31" s="5"/>
      <c r="F31" s="5"/>
      <c r="G31" s="5"/>
      <c r="H31" s="5"/>
      <c r="I31" s="5"/>
      <c r="J31" s="5"/>
      <c r="K31" s="5"/>
      <c r="L31" s="5"/>
      <c r="M31" s="5"/>
      <c r="N31" s="5"/>
      <c r="O31" s="5"/>
      <c r="P31" s="5"/>
      <c r="Q31" s="5"/>
      <c r="R31" s="5"/>
      <c r="S31" s="5"/>
      <c r="T31" s="5"/>
      <c r="U31" s="5"/>
    </row>
    <row r="32" spans="1:21" x14ac:dyDescent="0.25">
      <c r="A32" s="5"/>
      <c r="B32" s="5"/>
      <c r="C32" s="5"/>
      <c r="D32" s="5"/>
      <c r="E32" s="5"/>
      <c r="F32" s="5"/>
      <c r="G32" s="5"/>
      <c r="H32" s="5"/>
      <c r="I32" s="5"/>
      <c r="J32" s="5"/>
      <c r="K32" s="5"/>
      <c r="L32" s="5"/>
      <c r="M32" s="5"/>
      <c r="N32" s="5"/>
      <c r="O32" s="5"/>
      <c r="P32" s="5"/>
      <c r="Q32" s="5"/>
      <c r="R32" s="5"/>
      <c r="S32" s="5"/>
      <c r="T32" s="5"/>
      <c r="U32" s="5"/>
    </row>
    <row r="33" spans="1:21" x14ac:dyDescent="0.25">
      <c r="A33" s="5"/>
      <c r="B33" s="5"/>
      <c r="C33" s="5"/>
      <c r="D33" s="5"/>
      <c r="E33" s="5"/>
      <c r="F33" s="5"/>
      <c r="G33" s="5"/>
      <c r="H33" s="5"/>
      <c r="I33" s="5"/>
      <c r="J33" s="5"/>
      <c r="K33" s="5"/>
      <c r="L33" s="5"/>
      <c r="M33" s="5"/>
      <c r="N33" s="5"/>
      <c r="O33" s="5"/>
      <c r="P33" s="5"/>
      <c r="Q33" s="5"/>
      <c r="R33" s="5"/>
      <c r="S33" s="5"/>
      <c r="T33" s="5"/>
      <c r="U33" s="5"/>
    </row>
    <row r="34" spans="1:21" x14ac:dyDescent="0.25">
      <c r="A34" s="5"/>
      <c r="B34" s="5"/>
      <c r="C34" s="5"/>
      <c r="D34" s="5"/>
      <c r="E34" s="5"/>
      <c r="F34" s="5"/>
      <c r="G34" s="5"/>
      <c r="H34" s="5"/>
      <c r="I34" s="5"/>
      <c r="J34" s="5"/>
      <c r="K34" s="5"/>
      <c r="L34" s="5"/>
      <c r="M34" s="5"/>
      <c r="N34" s="5"/>
      <c r="O34" s="5"/>
      <c r="P34" s="5"/>
      <c r="Q34" s="5"/>
      <c r="R34" s="5"/>
      <c r="S34" s="5"/>
      <c r="T34" s="5"/>
      <c r="U34" s="5"/>
    </row>
    <row r="35" spans="1:21" x14ac:dyDescent="0.25">
      <c r="A35" s="5"/>
      <c r="B35" s="5"/>
      <c r="C35" s="5"/>
      <c r="D35" s="5"/>
      <c r="E35" s="5"/>
      <c r="F35" s="5"/>
      <c r="G35" s="5"/>
      <c r="H35" s="5"/>
      <c r="I35" s="5"/>
      <c r="J35" s="5"/>
      <c r="K35" s="5"/>
      <c r="L35" s="5"/>
      <c r="M35" s="5"/>
      <c r="N35" s="5"/>
      <c r="O35" s="5"/>
      <c r="P35" s="5"/>
      <c r="Q35" s="5"/>
      <c r="R35" s="5"/>
      <c r="S35" s="5"/>
      <c r="T35" s="5"/>
      <c r="U35" s="5"/>
    </row>
    <row r="36" spans="1:21" x14ac:dyDescent="0.25">
      <c r="A36" s="5"/>
      <c r="B36" s="5"/>
      <c r="C36" s="5"/>
      <c r="D36" s="5"/>
      <c r="E36" s="5"/>
      <c r="F36" s="5"/>
      <c r="G36" s="5"/>
      <c r="H36" s="5"/>
      <c r="I36" s="5"/>
      <c r="J36" s="5"/>
      <c r="K36" s="5"/>
      <c r="L36" s="5"/>
      <c r="M36" s="5"/>
      <c r="N36" s="5"/>
      <c r="O36" s="5"/>
      <c r="P36" s="5"/>
      <c r="Q36" s="5"/>
      <c r="R36" s="5"/>
      <c r="S36" s="5"/>
      <c r="T36" s="5"/>
      <c r="U36" s="5"/>
    </row>
    <row r="37" spans="1:21" x14ac:dyDescent="0.25">
      <c r="A37" s="5"/>
      <c r="B37" s="5"/>
      <c r="C37" s="5"/>
      <c r="D37" s="5"/>
      <c r="E37" s="5"/>
      <c r="F37" s="5"/>
      <c r="G37" s="5"/>
      <c r="H37" s="5"/>
      <c r="I37" s="5"/>
      <c r="J37" s="5"/>
      <c r="K37" s="5"/>
      <c r="L37" s="5"/>
      <c r="M37" s="5"/>
      <c r="N37" s="5"/>
      <c r="O37" s="5"/>
      <c r="P37" s="5"/>
      <c r="Q37" s="5"/>
      <c r="R37" s="5"/>
      <c r="S37" s="5"/>
      <c r="T37" s="5"/>
      <c r="U37" s="5"/>
    </row>
    <row r="38" spans="1:21" x14ac:dyDescent="0.25">
      <c r="A38" s="5"/>
      <c r="B38" s="5"/>
      <c r="C38" s="5"/>
      <c r="D38" s="5"/>
      <c r="E38" s="5"/>
      <c r="F38" s="5"/>
      <c r="G38" s="5"/>
      <c r="H38" s="5"/>
      <c r="I38" s="5"/>
      <c r="J38" s="5"/>
      <c r="K38" s="5"/>
      <c r="L38" s="5"/>
      <c r="M38" s="5"/>
      <c r="N38" s="5"/>
      <c r="O38" s="5"/>
      <c r="P38" s="5"/>
      <c r="Q38" s="5"/>
      <c r="R38" s="5"/>
      <c r="S38" s="5"/>
      <c r="T38" s="5"/>
      <c r="U38" s="5"/>
    </row>
    <row r="39" spans="1:21" x14ac:dyDescent="0.25">
      <c r="A39" s="5"/>
      <c r="B39" s="5"/>
      <c r="C39" s="5"/>
      <c r="D39" s="5"/>
      <c r="E39" s="5"/>
      <c r="F39" s="5"/>
      <c r="G39" s="5"/>
      <c r="H39" s="5"/>
      <c r="I39" s="5"/>
      <c r="J39" s="5"/>
      <c r="K39" s="5"/>
      <c r="L39" s="5"/>
      <c r="M39" s="5"/>
      <c r="N39" s="5"/>
      <c r="O39" s="5"/>
      <c r="P39" s="5"/>
      <c r="Q39" s="5"/>
      <c r="R39" s="5"/>
      <c r="S39" s="5"/>
      <c r="T39" s="5"/>
      <c r="U39" s="5"/>
    </row>
    <row r="40" spans="1:21" x14ac:dyDescent="0.25">
      <c r="A40" s="5"/>
      <c r="B40" s="5"/>
      <c r="C40" s="5"/>
      <c r="D40" s="5"/>
      <c r="E40" s="5"/>
      <c r="F40" s="5"/>
      <c r="G40" s="5"/>
      <c r="H40" s="5"/>
      <c r="I40" s="5"/>
      <c r="J40" s="5"/>
      <c r="K40" s="5"/>
      <c r="L40" s="5"/>
      <c r="M40" s="5"/>
      <c r="N40" s="5"/>
      <c r="O40" s="5"/>
      <c r="P40" s="5"/>
      <c r="Q40" s="5"/>
      <c r="R40" s="5"/>
      <c r="S40" s="5"/>
      <c r="T40" s="5"/>
      <c r="U40" s="5"/>
    </row>
    <row r="41" spans="1:21" x14ac:dyDescent="0.25">
      <c r="A41" s="5"/>
      <c r="B41" s="5"/>
      <c r="C41" s="5"/>
      <c r="D41" s="5"/>
      <c r="E41" s="5"/>
      <c r="F41" s="5"/>
      <c r="G41" s="5"/>
      <c r="H41" s="5"/>
      <c r="I41" s="5"/>
      <c r="J41" s="5"/>
      <c r="K41" s="5"/>
      <c r="L41" s="5"/>
      <c r="M41" s="5"/>
      <c r="N41" s="5"/>
      <c r="O41" s="5"/>
      <c r="P41" s="5"/>
      <c r="Q41" s="5"/>
      <c r="R41" s="5"/>
      <c r="S41" s="5"/>
      <c r="T41" s="5"/>
      <c r="U41" s="5"/>
    </row>
    <row r="42" spans="1:21" x14ac:dyDescent="0.25">
      <c r="A42" s="5"/>
      <c r="B42" s="5"/>
      <c r="C42" s="5"/>
      <c r="D42" s="5"/>
      <c r="E42" s="5"/>
      <c r="F42" s="5"/>
      <c r="G42" s="5"/>
      <c r="H42" s="5"/>
      <c r="I42" s="5"/>
      <c r="J42" s="5"/>
      <c r="K42" s="5"/>
      <c r="L42" s="5"/>
      <c r="M42" s="5"/>
      <c r="N42" s="5"/>
      <c r="O42" s="5"/>
      <c r="P42" s="5"/>
      <c r="Q42" s="5"/>
      <c r="R42" s="5"/>
      <c r="S42" s="5"/>
      <c r="T42" s="5"/>
      <c r="U42" s="5"/>
    </row>
    <row r="43" spans="1:21" x14ac:dyDescent="0.25">
      <c r="A43" s="5"/>
      <c r="B43" s="5"/>
      <c r="C43" s="5"/>
      <c r="D43" s="5"/>
      <c r="E43" s="5"/>
      <c r="F43" s="5"/>
      <c r="G43" s="5"/>
      <c r="H43" s="5"/>
      <c r="I43" s="5"/>
      <c r="J43" s="5"/>
      <c r="K43" s="5"/>
      <c r="L43" s="5"/>
      <c r="M43" s="5"/>
      <c r="N43" s="5"/>
      <c r="O43" s="5"/>
      <c r="P43" s="5"/>
      <c r="Q43" s="5"/>
      <c r="R43" s="5"/>
      <c r="S43" s="5"/>
      <c r="T43" s="5"/>
      <c r="U43" s="5"/>
    </row>
    <row r="44" spans="1:21" x14ac:dyDescent="0.25">
      <c r="A44" s="5"/>
      <c r="B44" s="5"/>
      <c r="C44" s="5"/>
      <c r="D44" s="5"/>
      <c r="E44" s="5"/>
      <c r="F44" s="5"/>
      <c r="G44" s="5"/>
      <c r="H44" s="5"/>
      <c r="I44" s="5"/>
      <c r="J44" s="5"/>
      <c r="K44" s="5"/>
      <c r="L44" s="5"/>
      <c r="M44" s="5"/>
      <c r="N44" s="5"/>
      <c r="O44" s="5"/>
      <c r="P44" s="5"/>
      <c r="Q44" s="5"/>
      <c r="R44" s="5"/>
      <c r="S44" s="5"/>
      <c r="T44" s="5"/>
      <c r="U44" s="5"/>
    </row>
    <row r="45" spans="1:21" x14ac:dyDescent="0.25">
      <c r="A45" s="5"/>
      <c r="B45" s="5"/>
      <c r="C45" s="5"/>
      <c r="D45" s="5"/>
      <c r="E45" s="5"/>
      <c r="F45" s="5"/>
      <c r="G45" s="5"/>
      <c r="H45" s="5"/>
      <c r="I45" s="5"/>
      <c r="J45" s="5"/>
      <c r="K45" s="5"/>
      <c r="L45" s="5"/>
      <c r="M45" s="5"/>
      <c r="N45" s="5"/>
      <c r="O45" s="5"/>
      <c r="P45" s="5"/>
      <c r="Q45" s="5"/>
      <c r="R45" s="5"/>
      <c r="S45" s="5"/>
      <c r="T45" s="5"/>
      <c r="U45" s="5"/>
    </row>
    <row r="46" spans="1:21" x14ac:dyDescent="0.25">
      <c r="A46" s="5"/>
      <c r="B46" s="5"/>
      <c r="C46" s="5"/>
      <c r="D46" s="5"/>
      <c r="E46" s="5"/>
      <c r="F46" s="5"/>
      <c r="G46" s="5"/>
      <c r="H46" s="5"/>
      <c r="I46" s="5"/>
      <c r="J46" s="5"/>
      <c r="K46" s="5"/>
      <c r="L46" s="5"/>
      <c r="M46" s="5"/>
      <c r="N46" s="5"/>
      <c r="O46" s="5"/>
      <c r="P46" s="5"/>
      <c r="Q46" s="5"/>
      <c r="R46" s="5"/>
      <c r="S46" s="5"/>
      <c r="T46" s="5"/>
      <c r="U46" s="5"/>
    </row>
    <row r="47" spans="1:21" x14ac:dyDescent="0.25">
      <c r="A47" s="5"/>
      <c r="B47" s="5"/>
      <c r="C47" s="5"/>
      <c r="D47" s="5"/>
      <c r="E47" s="5"/>
      <c r="F47" s="5"/>
      <c r="G47" s="5"/>
      <c r="H47" s="5"/>
      <c r="I47" s="5"/>
      <c r="J47" s="5"/>
      <c r="K47" s="5"/>
      <c r="L47" s="5"/>
      <c r="M47" s="5"/>
      <c r="N47" s="5"/>
      <c r="O47" s="5"/>
      <c r="P47" s="5"/>
      <c r="Q47" s="5"/>
      <c r="R47" s="5"/>
      <c r="S47" s="5"/>
      <c r="T47" s="5"/>
      <c r="U47" s="5"/>
    </row>
    <row r="48" spans="1:21" x14ac:dyDescent="0.25">
      <c r="A48" s="5"/>
      <c r="B48" s="5"/>
      <c r="C48" s="5"/>
      <c r="D48" s="5"/>
      <c r="E48" s="5"/>
      <c r="F48" s="5"/>
      <c r="G48" s="5"/>
      <c r="H48" s="5"/>
      <c r="I48" s="5"/>
      <c r="J48" s="5"/>
      <c r="K48" s="5"/>
      <c r="L48" s="5"/>
      <c r="M48" s="5"/>
      <c r="N48" s="5"/>
      <c r="O48" s="5"/>
      <c r="P48" s="5"/>
      <c r="Q48" s="5"/>
      <c r="R48" s="5"/>
      <c r="S48" s="5"/>
      <c r="T48" s="5"/>
      <c r="U48" s="5"/>
    </row>
    <row r="49" spans="1:21" x14ac:dyDescent="0.25">
      <c r="A49" s="5"/>
      <c r="B49" s="5"/>
      <c r="C49" s="5"/>
      <c r="D49" s="5"/>
      <c r="E49" s="5"/>
      <c r="F49" s="5"/>
      <c r="G49" s="5"/>
      <c r="H49" s="5"/>
      <c r="I49" s="5"/>
      <c r="J49" s="5"/>
      <c r="K49" s="5"/>
      <c r="L49" s="5"/>
      <c r="M49" s="5"/>
      <c r="N49" s="5"/>
      <c r="O49" s="5"/>
      <c r="P49" s="5"/>
      <c r="Q49" s="5"/>
      <c r="R49" s="5"/>
      <c r="S49" s="5"/>
      <c r="T49" s="5"/>
      <c r="U49" s="5"/>
    </row>
    <row r="50" spans="1:21" x14ac:dyDescent="0.25">
      <c r="A50" s="5"/>
      <c r="B50" s="5"/>
      <c r="C50" s="5"/>
      <c r="D50" s="5"/>
      <c r="E50" s="5"/>
      <c r="F50" s="5"/>
      <c r="G50" s="5"/>
      <c r="H50" s="5"/>
      <c r="I50" s="5"/>
      <c r="J50" s="5"/>
      <c r="K50" s="5"/>
      <c r="L50" s="5"/>
      <c r="M50" s="5"/>
      <c r="N50" s="5"/>
      <c r="O50" s="5"/>
      <c r="P50" s="5"/>
      <c r="Q50" s="5"/>
      <c r="R50" s="5"/>
      <c r="S50" s="5"/>
      <c r="T50" s="5"/>
      <c r="U50" s="5"/>
    </row>
    <row r="51" spans="1:21" x14ac:dyDescent="0.25">
      <c r="A51" s="5"/>
      <c r="B51" s="5"/>
      <c r="C51" s="5"/>
      <c r="D51" s="5"/>
      <c r="E51" s="5"/>
      <c r="F51" s="5"/>
      <c r="G51" s="5"/>
      <c r="H51" s="5"/>
      <c r="I51" s="5"/>
      <c r="J51" s="5"/>
      <c r="K51" s="5"/>
      <c r="L51" s="5"/>
      <c r="M51" s="5"/>
      <c r="N51" s="5"/>
      <c r="O51" s="5"/>
      <c r="P51" s="5"/>
      <c r="Q51" s="5"/>
      <c r="R51" s="5"/>
      <c r="S51" s="5"/>
      <c r="T51" s="5"/>
      <c r="U51" s="5"/>
    </row>
    <row r="52" spans="1:21" x14ac:dyDescent="0.25">
      <c r="A52" s="5"/>
      <c r="B52" s="5"/>
      <c r="C52" s="5"/>
      <c r="D52" s="5"/>
      <c r="E52" s="5"/>
      <c r="F52" s="5"/>
      <c r="G52" s="5"/>
      <c r="H52" s="5"/>
      <c r="I52" s="5"/>
      <c r="J52" s="5"/>
      <c r="K52" s="5"/>
      <c r="L52" s="5"/>
      <c r="M52" s="5"/>
      <c r="N52" s="5"/>
      <c r="O52" s="5"/>
      <c r="P52" s="5"/>
      <c r="Q52" s="5"/>
      <c r="R52" s="5"/>
      <c r="S52" s="5"/>
      <c r="T52" s="5"/>
      <c r="U52" s="5"/>
    </row>
    <row r="53" spans="1:21" x14ac:dyDescent="0.25">
      <c r="A53" s="5"/>
      <c r="B53" s="5"/>
      <c r="C53" s="5"/>
      <c r="D53" s="5"/>
      <c r="E53" s="5"/>
      <c r="F53" s="5"/>
      <c r="G53" s="5"/>
      <c r="H53" s="5"/>
      <c r="I53" s="5"/>
      <c r="J53" s="5"/>
      <c r="K53" s="5"/>
      <c r="L53" s="5"/>
      <c r="M53" s="5"/>
      <c r="N53" s="5"/>
      <c r="O53" s="5"/>
      <c r="P53" s="5"/>
      <c r="Q53" s="5"/>
      <c r="R53" s="5"/>
      <c r="S53" s="5"/>
      <c r="T53" s="5"/>
      <c r="U53"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workbookViewId="0"/>
  </sheetViews>
  <sheetFormatPr defaultRowHeight="15" x14ac:dyDescent="0.25"/>
  <sheetData>
    <row r="1" spans="1:17" x14ac:dyDescent="0.25">
      <c r="A1" s="5"/>
      <c r="B1" s="5"/>
      <c r="C1" s="5"/>
      <c r="D1" s="5"/>
      <c r="E1" s="5"/>
      <c r="F1" s="5"/>
      <c r="G1" s="5"/>
      <c r="H1" s="5"/>
      <c r="I1" s="5"/>
      <c r="J1" s="5"/>
      <c r="K1" s="5"/>
      <c r="L1" s="5"/>
      <c r="M1" s="5"/>
      <c r="N1" s="5"/>
      <c r="O1" s="5"/>
      <c r="P1" s="5"/>
      <c r="Q1" s="5"/>
    </row>
    <row r="2" spans="1:17" x14ac:dyDescent="0.25">
      <c r="A2" s="5"/>
      <c r="B2" s="5"/>
      <c r="C2" s="5"/>
      <c r="D2" s="5"/>
      <c r="E2" s="5"/>
      <c r="F2" s="5"/>
      <c r="G2" s="5"/>
      <c r="H2" s="5"/>
      <c r="I2" s="5"/>
      <c r="J2" s="5"/>
      <c r="K2" s="5"/>
      <c r="L2" s="5"/>
      <c r="M2" s="5"/>
      <c r="N2" s="5"/>
      <c r="O2" s="5"/>
      <c r="P2" s="5"/>
      <c r="Q2" s="5"/>
    </row>
    <row r="3" spans="1:17" x14ac:dyDescent="0.25">
      <c r="A3" s="5"/>
      <c r="B3" s="5"/>
      <c r="C3" s="5"/>
      <c r="D3" s="5"/>
      <c r="E3" s="5"/>
      <c r="F3" s="5"/>
      <c r="G3" s="5"/>
      <c r="H3" s="5"/>
      <c r="I3" s="5"/>
      <c r="J3" s="5"/>
      <c r="K3" s="5"/>
      <c r="L3" s="5"/>
      <c r="M3" s="5"/>
      <c r="N3" s="5"/>
      <c r="O3" s="5"/>
      <c r="P3" s="5"/>
      <c r="Q3" s="5"/>
    </row>
    <row r="4" spans="1:17" x14ac:dyDescent="0.25">
      <c r="A4" s="5"/>
      <c r="B4" s="5"/>
      <c r="C4" s="5"/>
      <c r="D4" s="5"/>
      <c r="E4" s="5"/>
      <c r="F4" s="5"/>
      <c r="G4" s="5"/>
      <c r="H4" s="5"/>
      <c r="I4" s="5"/>
      <c r="J4" s="5"/>
      <c r="K4" s="5"/>
      <c r="L4" s="5"/>
      <c r="M4" s="5"/>
      <c r="N4" s="5"/>
      <c r="O4" s="5"/>
      <c r="P4" s="5"/>
      <c r="Q4" s="5"/>
    </row>
    <row r="5" spans="1:17" x14ac:dyDescent="0.25">
      <c r="A5" s="5"/>
      <c r="B5" s="5"/>
      <c r="C5" s="5"/>
      <c r="D5" s="5"/>
      <c r="E5" s="5"/>
      <c r="F5" s="5"/>
      <c r="G5" s="5"/>
      <c r="H5" s="5"/>
      <c r="I5" s="5"/>
      <c r="J5" s="5"/>
      <c r="K5" s="5"/>
      <c r="L5" s="5"/>
      <c r="M5" s="5"/>
      <c r="N5" s="5"/>
      <c r="O5" s="5"/>
      <c r="P5" s="5"/>
      <c r="Q5" s="5"/>
    </row>
    <row r="6" spans="1:17" x14ac:dyDescent="0.25">
      <c r="A6" s="5"/>
      <c r="B6" s="5"/>
      <c r="C6" s="5"/>
      <c r="D6" s="5"/>
      <c r="E6" s="5"/>
      <c r="F6" s="5"/>
      <c r="G6" s="5"/>
      <c r="H6" s="5"/>
      <c r="I6" s="5"/>
      <c r="J6" s="5"/>
      <c r="K6" s="5"/>
      <c r="L6" s="5"/>
      <c r="M6" s="5"/>
      <c r="N6" s="5"/>
      <c r="O6" s="5"/>
      <c r="P6" s="5"/>
      <c r="Q6" s="5"/>
    </row>
    <row r="7" spans="1:17" x14ac:dyDescent="0.25">
      <c r="A7" s="5"/>
      <c r="B7" s="5"/>
      <c r="C7" s="5"/>
      <c r="D7" s="5"/>
      <c r="E7" s="5"/>
      <c r="F7" s="5"/>
      <c r="G7" s="5"/>
      <c r="H7" s="5"/>
      <c r="I7" s="5"/>
      <c r="J7" s="5"/>
      <c r="K7" s="5"/>
      <c r="L7" s="5"/>
      <c r="M7" s="5"/>
      <c r="N7" s="5"/>
      <c r="O7" s="5"/>
      <c r="P7" s="5"/>
      <c r="Q7" s="5"/>
    </row>
    <row r="8" spans="1:17" x14ac:dyDescent="0.25">
      <c r="A8" s="5"/>
      <c r="B8" s="5"/>
      <c r="C8" s="5"/>
      <c r="D8" s="5"/>
      <c r="E8" s="5"/>
      <c r="F8" s="5"/>
      <c r="G8" s="5"/>
      <c r="H8" s="5"/>
      <c r="I8" s="5"/>
      <c r="J8" s="5"/>
      <c r="K8" s="5"/>
      <c r="L8" s="5"/>
      <c r="M8" s="5"/>
      <c r="N8" s="5"/>
      <c r="O8" s="5"/>
      <c r="P8" s="5"/>
      <c r="Q8" s="5"/>
    </row>
    <row r="9" spans="1:17" x14ac:dyDescent="0.25">
      <c r="A9" s="5"/>
      <c r="B9" s="5"/>
      <c r="C9" s="5"/>
      <c r="D9" s="5"/>
      <c r="E9" s="5"/>
      <c r="F9" s="5"/>
      <c r="G9" s="5"/>
      <c r="H9" s="5"/>
      <c r="I9" s="5"/>
      <c r="J9" s="5"/>
      <c r="K9" s="5"/>
      <c r="L9" s="5"/>
      <c r="M9" s="5"/>
      <c r="N9" s="5"/>
      <c r="O9" s="5"/>
      <c r="P9" s="5"/>
      <c r="Q9" s="5"/>
    </row>
    <row r="10" spans="1:17" x14ac:dyDescent="0.25">
      <c r="A10" s="5"/>
      <c r="B10" s="5"/>
      <c r="C10" s="5"/>
      <c r="D10" s="5"/>
      <c r="E10" s="5"/>
      <c r="F10" s="5"/>
      <c r="G10" s="5"/>
      <c r="H10" s="5"/>
      <c r="I10" s="5"/>
      <c r="J10" s="5"/>
      <c r="K10" s="5"/>
      <c r="L10" s="5"/>
      <c r="M10" s="5"/>
      <c r="N10" s="5"/>
      <c r="O10" s="5"/>
      <c r="P10" s="5"/>
      <c r="Q10" s="5"/>
    </row>
    <row r="11" spans="1:17" x14ac:dyDescent="0.25">
      <c r="A11" s="5"/>
      <c r="B11" s="5"/>
      <c r="C11" s="5"/>
      <c r="D11" s="5"/>
      <c r="E11" s="5"/>
      <c r="F11" s="5"/>
      <c r="G11" s="5"/>
      <c r="H11" s="5"/>
      <c r="I11" s="5"/>
      <c r="J11" s="5"/>
      <c r="K11" s="5"/>
      <c r="L11" s="5"/>
      <c r="M11" s="5"/>
      <c r="N11" s="5"/>
      <c r="O11" s="5"/>
      <c r="P11" s="5"/>
      <c r="Q11" s="5"/>
    </row>
    <row r="12" spans="1:17" x14ac:dyDescent="0.25">
      <c r="A12" s="5"/>
      <c r="B12" s="5"/>
      <c r="C12" s="5"/>
      <c r="D12" s="5"/>
      <c r="E12" s="5"/>
      <c r="F12" s="5"/>
      <c r="G12" s="5"/>
      <c r="H12" s="5"/>
      <c r="I12" s="5"/>
      <c r="J12" s="5"/>
      <c r="K12" s="5"/>
      <c r="L12" s="5"/>
      <c r="M12" s="5"/>
      <c r="N12" s="5"/>
      <c r="O12" s="5"/>
      <c r="P12" s="5"/>
      <c r="Q12" s="5"/>
    </row>
    <row r="13" spans="1:17" x14ac:dyDescent="0.25">
      <c r="A13" s="5"/>
      <c r="B13" s="5"/>
      <c r="C13" s="5"/>
      <c r="D13" s="5"/>
      <c r="E13" s="5"/>
      <c r="F13" s="5"/>
      <c r="G13" s="5"/>
      <c r="H13" s="5"/>
      <c r="I13" s="5"/>
      <c r="J13" s="5"/>
      <c r="K13" s="5"/>
      <c r="L13" s="5"/>
      <c r="M13" s="5"/>
      <c r="N13" s="5"/>
      <c r="O13" s="5"/>
      <c r="P13" s="5"/>
      <c r="Q13" s="5"/>
    </row>
    <row r="14" spans="1:17" x14ac:dyDescent="0.25">
      <c r="A14" s="5"/>
      <c r="B14" s="5"/>
      <c r="C14" s="5"/>
      <c r="D14" s="5"/>
      <c r="E14" s="5"/>
      <c r="F14" s="5"/>
      <c r="G14" s="5"/>
      <c r="H14" s="5"/>
      <c r="I14" s="5"/>
      <c r="J14" s="5"/>
      <c r="K14" s="5"/>
      <c r="L14" s="5"/>
      <c r="M14" s="5"/>
      <c r="N14" s="5"/>
      <c r="O14" s="5"/>
      <c r="P14" s="5"/>
      <c r="Q14" s="5"/>
    </row>
    <row r="15" spans="1:17" x14ac:dyDescent="0.25">
      <c r="A15" s="5"/>
      <c r="B15" s="5"/>
      <c r="C15" s="5"/>
      <c r="D15" s="5"/>
      <c r="E15" s="5"/>
      <c r="F15" s="5"/>
      <c r="G15" s="5"/>
      <c r="H15" s="5"/>
      <c r="I15" s="5"/>
      <c r="J15" s="5"/>
      <c r="K15" s="5"/>
      <c r="L15" s="5"/>
      <c r="M15" s="5"/>
      <c r="N15" s="5"/>
      <c r="O15" s="5"/>
      <c r="P15" s="5"/>
      <c r="Q15" s="5"/>
    </row>
    <row r="16" spans="1:17" x14ac:dyDescent="0.25">
      <c r="A16" s="5"/>
      <c r="B16" s="5"/>
      <c r="C16" s="5"/>
      <c r="D16" s="5"/>
      <c r="E16" s="5"/>
      <c r="F16" s="5"/>
      <c r="G16" s="5"/>
      <c r="H16" s="5"/>
      <c r="I16" s="5"/>
      <c r="J16" s="5"/>
      <c r="K16" s="5"/>
      <c r="L16" s="5"/>
      <c r="M16" s="5"/>
      <c r="N16" s="5"/>
      <c r="O16" s="5"/>
      <c r="P16" s="5"/>
      <c r="Q16" s="5"/>
    </row>
    <row r="17" spans="1:17" x14ac:dyDescent="0.25">
      <c r="A17" s="5"/>
      <c r="B17" s="5"/>
      <c r="C17" s="5"/>
      <c r="D17" s="5"/>
      <c r="E17" s="5"/>
      <c r="F17" s="5"/>
      <c r="G17" s="5"/>
      <c r="H17" s="5"/>
      <c r="I17" s="5"/>
      <c r="J17" s="5"/>
      <c r="K17" s="5"/>
      <c r="L17" s="5"/>
      <c r="M17" s="5"/>
      <c r="N17" s="5"/>
      <c r="O17" s="5"/>
      <c r="P17" s="5"/>
      <c r="Q17" s="5"/>
    </row>
    <row r="18" spans="1:17" x14ac:dyDescent="0.25">
      <c r="A18" s="5"/>
      <c r="B18" s="5"/>
      <c r="C18" s="5"/>
      <c r="D18" s="5"/>
      <c r="E18" s="5"/>
      <c r="F18" s="5"/>
      <c r="G18" s="5"/>
      <c r="H18" s="5"/>
      <c r="I18" s="5"/>
      <c r="J18" s="5"/>
      <c r="K18" s="5"/>
      <c r="L18" s="5"/>
      <c r="M18" s="5"/>
      <c r="N18" s="5"/>
      <c r="O18" s="5"/>
      <c r="P18" s="5"/>
      <c r="Q18" s="5"/>
    </row>
    <row r="19" spans="1:17" x14ac:dyDescent="0.25">
      <c r="A19" s="5"/>
      <c r="B19" s="5"/>
      <c r="C19" s="5"/>
      <c r="D19" s="5"/>
      <c r="E19" s="5"/>
      <c r="F19" s="5"/>
      <c r="G19" s="5"/>
      <c r="H19" s="5"/>
      <c r="I19" s="5"/>
      <c r="J19" s="5"/>
      <c r="K19" s="5"/>
      <c r="L19" s="5"/>
      <c r="M19" s="5"/>
      <c r="N19" s="5"/>
      <c r="O19" s="5"/>
      <c r="P19" s="5"/>
      <c r="Q19" s="5"/>
    </row>
    <row r="20" spans="1:17" x14ac:dyDescent="0.25">
      <c r="A20" s="5"/>
      <c r="B20" s="5"/>
      <c r="C20" s="5"/>
      <c r="D20" s="5"/>
      <c r="E20" s="5"/>
      <c r="F20" s="5"/>
      <c r="G20" s="5"/>
      <c r="H20" s="5"/>
      <c r="I20" s="5"/>
      <c r="J20" s="5"/>
      <c r="K20" s="5"/>
      <c r="L20" s="5"/>
      <c r="M20" s="5"/>
      <c r="N20" s="5"/>
      <c r="O20" s="5"/>
      <c r="P20" s="5"/>
      <c r="Q20" s="5"/>
    </row>
    <row r="21" spans="1:17" x14ac:dyDescent="0.25">
      <c r="A21" s="5"/>
      <c r="B21" s="5"/>
      <c r="C21" s="5"/>
      <c r="D21" s="5"/>
      <c r="E21" s="5"/>
      <c r="F21" s="5"/>
      <c r="G21" s="5"/>
      <c r="H21" s="5"/>
      <c r="I21" s="5"/>
      <c r="J21" s="5"/>
      <c r="K21" s="5"/>
      <c r="L21" s="5"/>
      <c r="M21" s="5"/>
      <c r="N21" s="5"/>
      <c r="O21" s="5"/>
      <c r="P21" s="5"/>
      <c r="Q21" s="5"/>
    </row>
    <row r="22" spans="1:17" x14ac:dyDescent="0.25">
      <c r="A22" s="5"/>
      <c r="B22" s="5"/>
      <c r="C22" s="5"/>
      <c r="D22" s="5"/>
      <c r="E22" s="5"/>
      <c r="F22" s="5"/>
      <c r="G22" s="5"/>
      <c r="H22" s="5"/>
      <c r="I22" s="5"/>
      <c r="J22" s="5"/>
      <c r="K22" s="5"/>
      <c r="L22" s="5"/>
      <c r="M22" s="5"/>
      <c r="N22" s="5"/>
      <c r="O22" s="5"/>
      <c r="P22" s="5"/>
      <c r="Q22" s="5"/>
    </row>
    <row r="23" spans="1:17" ht="18.75" x14ac:dyDescent="0.3">
      <c r="A23" s="5"/>
      <c r="B23" s="5"/>
      <c r="C23" s="13" t="s">
        <v>7</v>
      </c>
      <c r="D23" s="13"/>
      <c r="E23" s="13"/>
      <c r="F23" s="13"/>
      <c r="G23" s="13"/>
      <c r="H23" s="13"/>
      <c r="I23" s="13"/>
      <c r="J23" s="13"/>
      <c r="K23" s="13"/>
      <c r="L23" s="13"/>
      <c r="M23" s="5"/>
      <c r="N23" s="5"/>
      <c r="O23" s="5"/>
      <c r="P23" s="5"/>
      <c r="Q23" s="5"/>
    </row>
  </sheetData>
  <mergeCells count="1">
    <mergeCell ref="C23:L2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
  <sheetViews>
    <sheetView showGridLines="0" workbookViewId="0"/>
  </sheetViews>
  <sheetFormatPr defaultRowHeight="15" x14ac:dyDescent="0.25"/>
  <sheetData>
    <row r="1" spans="18:26" x14ac:dyDescent="0.25">
      <c r="R1" s="5"/>
      <c r="S1" s="5"/>
      <c r="T1" s="5"/>
      <c r="U1" s="5"/>
      <c r="V1" s="5"/>
      <c r="W1" s="5"/>
      <c r="X1" s="5"/>
      <c r="Y1" s="5"/>
      <c r="Z1" s="5"/>
    </row>
    <row r="2" spans="18:26" x14ac:dyDescent="0.25">
      <c r="R2" s="5"/>
      <c r="S2" s="5"/>
      <c r="T2" s="5"/>
      <c r="U2" s="5"/>
      <c r="V2" s="5"/>
      <c r="W2" s="5"/>
      <c r="X2" s="5"/>
      <c r="Y2" s="5"/>
      <c r="Z2" s="5"/>
    </row>
    <row r="3" spans="18:26" x14ac:dyDescent="0.25">
      <c r="R3" s="5"/>
      <c r="S3" s="5"/>
      <c r="T3" s="5"/>
      <c r="U3" s="5"/>
      <c r="V3" s="5"/>
      <c r="W3" s="5"/>
      <c r="X3" s="5"/>
      <c r="Y3" s="5"/>
      <c r="Z3" s="5"/>
    </row>
    <row r="4" spans="18:26" x14ac:dyDescent="0.25">
      <c r="R4" s="5"/>
      <c r="S4" s="5"/>
      <c r="T4" s="5"/>
      <c r="U4" s="5"/>
      <c r="V4" s="5"/>
      <c r="W4" s="5"/>
      <c r="X4" s="5"/>
      <c r="Y4" s="5"/>
      <c r="Z4" s="5"/>
    </row>
    <row r="5" spans="18:26" x14ac:dyDescent="0.25">
      <c r="R5" s="5"/>
      <c r="S5" s="5"/>
      <c r="T5" s="5"/>
      <c r="U5" s="5"/>
      <c r="V5" s="5"/>
      <c r="W5" s="5"/>
      <c r="X5" s="5"/>
      <c r="Y5" s="5"/>
      <c r="Z5" s="5"/>
    </row>
    <row r="6" spans="18:26" x14ac:dyDescent="0.25">
      <c r="R6" s="5"/>
      <c r="S6" s="5"/>
      <c r="T6" s="5"/>
      <c r="U6" s="5"/>
      <c r="V6" s="5"/>
      <c r="W6" s="5"/>
      <c r="X6" s="5"/>
      <c r="Y6" s="5"/>
      <c r="Z6" s="5"/>
    </row>
    <row r="7" spans="18:26" x14ac:dyDescent="0.25">
      <c r="R7" s="5"/>
      <c r="S7" s="5"/>
      <c r="T7" s="5"/>
      <c r="U7" s="5"/>
      <c r="V7" s="5"/>
      <c r="W7" s="5"/>
      <c r="X7" s="5"/>
      <c r="Y7" s="5"/>
      <c r="Z7" s="5"/>
    </row>
    <row r="8" spans="18:26" x14ac:dyDescent="0.25">
      <c r="R8" s="5"/>
      <c r="S8" s="5"/>
      <c r="T8" s="5"/>
      <c r="U8" s="5"/>
      <c r="V8" s="5"/>
      <c r="W8" s="5"/>
      <c r="X8" s="5"/>
      <c r="Y8" s="5"/>
      <c r="Z8" s="5"/>
    </row>
    <row r="9" spans="18:26" x14ac:dyDescent="0.25">
      <c r="R9" s="5"/>
      <c r="S9" s="5"/>
      <c r="T9" s="5"/>
      <c r="U9" s="5"/>
      <c r="V9" s="5"/>
      <c r="W9" s="5"/>
      <c r="X9" s="5"/>
      <c r="Y9" s="5"/>
      <c r="Z9" s="5"/>
    </row>
    <row r="10" spans="18:26" x14ac:dyDescent="0.25">
      <c r="R10" s="5"/>
      <c r="S10" s="5"/>
      <c r="T10" s="5"/>
      <c r="U10" s="5"/>
      <c r="V10" s="5"/>
      <c r="W10" s="5"/>
      <c r="X10" s="5"/>
      <c r="Y10" s="5"/>
      <c r="Z10" s="5"/>
    </row>
    <row r="11" spans="18:26" x14ac:dyDescent="0.25">
      <c r="R11" s="5"/>
      <c r="S11" s="5"/>
      <c r="T11" s="5"/>
      <c r="U11" s="5"/>
      <c r="V11" s="5"/>
      <c r="W11" s="5"/>
      <c r="X11" s="5"/>
      <c r="Y11" s="5"/>
      <c r="Z11" s="5"/>
    </row>
    <row r="12" spans="18:26" x14ac:dyDescent="0.25">
      <c r="R12" s="5"/>
      <c r="S12" s="5"/>
      <c r="T12" s="5"/>
      <c r="U12" s="5"/>
      <c r="V12" s="5"/>
      <c r="W12" s="5"/>
      <c r="X12" s="5"/>
      <c r="Y12" s="5"/>
      <c r="Z12" s="5"/>
    </row>
    <row r="13" spans="18:26" x14ac:dyDescent="0.25">
      <c r="R13" s="5"/>
      <c r="S13" s="5"/>
      <c r="T13" s="5"/>
      <c r="U13" s="5"/>
      <c r="V13" s="5"/>
      <c r="W13" s="5"/>
      <c r="X13" s="5"/>
      <c r="Y13" s="5"/>
      <c r="Z13" s="5"/>
    </row>
    <row r="14" spans="18:26" x14ac:dyDescent="0.25">
      <c r="R14" s="5"/>
      <c r="S14" s="5"/>
      <c r="T14" s="5"/>
      <c r="U14" s="5"/>
      <c r="V14" s="5"/>
      <c r="W14" s="5"/>
      <c r="X14" s="5"/>
      <c r="Y14" s="5"/>
      <c r="Z14" s="5"/>
    </row>
    <row r="15" spans="18:26" x14ac:dyDescent="0.25">
      <c r="R15" s="5"/>
      <c r="S15" s="5"/>
      <c r="T15" s="5"/>
      <c r="U15" s="5"/>
      <c r="V15" s="5"/>
      <c r="W15" s="5"/>
      <c r="X15" s="5"/>
      <c r="Y15" s="5"/>
      <c r="Z15" s="5"/>
    </row>
    <row r="16" spans="18:26" x14ac:dyDescent="0.25">
      <c r="R16" s="5"/>
      <c r="S16" s="5"/>
      <c r="T16" s="5"/>
      <c r="U16" s="5"/>
      <c r="V16" s="5"/>
      <c r="W16" s="5"/>
      <c r="X16" s="5"/>
      <c r="Y16" s="5"/>
      <c r="Z16" s="5"/>
    </row>
    <row r="17" spans="1:26"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5">
      <c r="A18" s="5"/>
      <c r="B18" s="5"/>
      <c r="O18" s="5"/>
      <c r="P18" s="5"/>
      <c r="Q18" s="5"/>
      <c r="R18" s="5"/>
      <c r="S18" s="5"/>
      <c r="T18" s="5"/>
      <c r="U18" s="5"/>
      <c r="V18" s="5"/>
      <c r="W18" s="5"/>
      <c r="X18" s="5"/>
      <c r="Y18" s="5"/>
      <c r="Z18" s="5"/>
    </row>
    <row r="19" spans="1:26"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8.75" x14ac:dyDescent="0.3">
      <c r="A20" s="5"/>
      <c r="B20" s="5"/>
      <c r="C20" s="5"/>
      <c r="D20" s="14" t="s">
        <v>8</v>
      </c>
      <c r="E20" s="14"/>
      <c r="F20" s="14"/>
      <c r="G20" s="14"/>
      <c r="H20" s="14"/>
      <c r="I20" s="14"/>
      <c r="J20" s="14"/>
      <c r="K20" s="14"/>
      <c r="L20" s="14"/>
      <c r="M20" s="14"/>
      <c r="N20" s="14"/>
      <c r="O20" s="14"/>
      <c r="P20" s="5"/>
      <c r="Q20" s="5"/>
      <c r="R20" s="5"/>
      <c r="S20" s="5"/>
      <c r="T20" s="5"/>
      <c r="U20" s="5"/>
      <c r="V20" s="5"/>
      <c r="W20" s="5"/>
      <c r="X20" s="5"/>
      <c r="Y20" s="5"/>
      <c r="Z20" s="5"/>
    </row>
    <row r="21" spans="1:2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sheetData>
  <mergeCells count="1">
    <mergeCell ref="D20:O2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workbookViewId="0"/>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ht="18.75" x14ac:dyDescent="0.3">
      <c r="A20" s="5"/>
      <c r="B20" s="14" t="s">
        <v>9</v>
      </c>
      <c r="C20" s="14"/>
      <c r="D20" s="14"/>
      <c r="E20" s="14"/>
      <c r="F20" s="14"/>
      <c r="G20" s="14"/>
      <c r="H20" s="14"/>
      <c r="I20" s="14"/>
      <c r="J20" s="14"/>
      <c r="K20" s="14"/>
      <c r="L20" s="14"/>
      <c r="M20" s="14"/>
      <c r="N20" s="14"/>
      <c r="O20" s="14"/>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row r="23" spans="1:21" x14ac:dyDescent="0.25">
      <c r="A23" s="5"/>
      <c r="B23" s="5"/>
      <c r="C23" s="5"/>
      <c r="D23" s="5"/>
      <c r="E23" s="5"/>
      <c r="F23" s="5"/>
      <c r="G23" s="5"/>
      <c r="H23" s="5"/>
      <c r="I23" s="5"/>
      <c r="J23" s="5"/>
      <c r="K23" s="5"/>
      <c r="L23" s="5"/>
      <c r="M23" s="5"/>
      <c r="N23" s="5"/>
      <c r="O23" s="5"/>
      <c r="P23" s="5"/>
      <c r="Q23" s="5"/>
      <c r="R23" s="5"/>
      <c r="S23" s="5"/>
      <c r="T23" s="5"/>
      <c r="U23" s="5"/>
    </row>
  </sheetData>
  <mergeCells count="1">
    <mergeCell ref="B20:O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2"/>
  <sheetViews>
    <sheetView workbookViewId="0"/>
  </sheetViews>
  <sheetFormatPr defaultRowHeight="15" x14ac:dyDescent="0.25"/>
  <cols>
    <col min="1" max="1" width="41.7109375" bestFit="1" customWidth="1"/>
    <col min="2" max="2" width="57.5703125" bestFit="1" customWidth="1"/>
    <col min="3" max="3" width="55.8554687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2.28515625" bestFit="1" customWidth="1"/>
  </cols>
  <sheetData>
    <row r="1" spans="1:13" x14ac:dyDescent="0.25">
      <c r="A1" t="s">
        <v>315</v>
      </c>
    </row>
    <row r="3" spans="1:13" x14ac:dyDescent="0.25">
      <c r="A3" t="s">
        <v>25</v>
      </c>
      <c r="B3" t="s">
        <v>26</v>
      </c>
      <c r="C3" t="s">
        <v>27</v>
      </c>
      <c r="D3" t="s">
        <v>28</v>
      </c>
      <c r="E3" t="s">
        <v>29</v>
      </c>
      <c r="F3" t="s">
        <v>30</v>
      </c>
      <c r="G3" t="s">
        <v>31</v>
      </c>
      <c r="H3" t="s">
        <v>32</v>
      </c>
      <c r="I3" t="s">
        <v>33</v>
      </c>
      <c r="J3" t="s">
        <v>34</v>
      </c>
      <c r="K3" t="s">
        <v>35</v>
      </c>
      <c r="L3" t="s">
        <v>36</v>
      </c>
      <c r="M3" t="s">
        <v>37</v>
      </c>
    </row>
    <row r="4" spans="1:13" x14ac:dyDescent="0.25">
      <c r="A4" t="s">
        <v>38</v>
      </c>
      <c r="B4" s="15">
        <v>45043</v>
      </c>
      <c r="C4" s="16">
        <v>0.59722222222222221</v>
      </c>
      <c r="D4" t="s">
        <v>39</v>
      </c>
      <c r="E4" t="s">
        <v>40</v>
      </c>
      <c r="F4">
        <v>9</v>
      </c>
      <c r="G4" t="s">
        <v>41</v>
      </c>
      <c r="H4" t="s">
        <v>42</v>
      </c>
      <c r="I4" t="s">
        <v>12</v>
      </c>
      <c r="J4">
        <v>6</v>
      </c>
      <c r="K4">
        <v>45</v>
      </c>
      <c r="L4" t="s">
        <v>16</v>
      </c>
      <c r="M4" t="s">
        <v>43</v>
      </c>
    </row>
    <row r="5" spans="1:13" x14ac:dyDescent="0.25">
      <c r="A5" t="s">
        <v>44</v>
      </c>
      <c r="B5" s="15">
        <v>45387</v>
      </c>
      <c r="C5" s="16">
        <v>0.60138888888888886</v>
      </c>
      <c r="D5" t="s">
        <v>45</v>
      </c>
      <c r="E5" t="s">
        <v>40</v>
      </c>
      <c r="F5">
        <v>2</v>
      </c>
      <c r="G5" t="s">
        <v>41</v>
      </c>
      <c r="H5" t="s">
        <v>42</v>
      </c>
      <c r="I5" t="s">
        <v>12</v>
      </c>
      <c r="J5">
        <v>2</v>
      </c>
      <c r="K5">
        <v>34</v>
      </c>
      <c r="L5" t="s">
        <v>16</v>
      </c>
      <c r="M5" t="s">
        <v>43</v>
      </c>
    </row>
    <row r="6" spans="1:13" x14ac:dyDescent="0.25">
      <c r="A6" t="s">
        <v>46</v>
      </c>
      <c r="B6" s="15">
        <v>45034</v>
      </c>
      <c r="C6" s="16">
        <v>0.25347222222222221</v>
      </c>
      <c r="D6" t="s">
        <v>47</v>
      </c>
      <c r="E6" t="s">
        <v>48</v>
      </c>
      <c r="F6">
        <v>10</v>
      </c>
      <c r="G6" t="s">
        <v>41</v>
      </c>
      <c r="H6" t="s">
        <v>42</v>
      </c>
      <c r="I6" t="s">
        <v>12</v>
      </c>
      <c r="J6">
        <v>8</v>
      </c>
      <c r="K6">
        <v>43</v>
      </c>
      <c r="L6" t="s">
        <v>16</v>
      </c>
      <c r="M6" t="s">
        <v>43</v>
      </c>
    </row>
    <row r="7" spans="1:13" x14ac:dyDescent="0.25">
      <c r="A7" t="s">
        <v>49</v>
      </c>
      <c r="B7" s="15">
        <v>45023</v>
      </c>
      <c r="C7" s="16">
        <v>0.25624999999999998</v>
      </c>
      <c r="D7" t="s">
        <v>50</v>
      </c>
      <c r="E7" t="s">
        <v>40</v>
      </c>
      <c r="F7">
        <v>10</v>
      </c>
      <c r="G7" t="s">
        <v>41</v>
      </c>
      <c r="H7" t="s">
        <v>42</v>
      </c>
      <c r="I7" t="s">
        <v>11</v>
      </c>
      <c r="J7">
        <v>8</v>
      </c>
      <c r="K7">
        <v>17</v>
      </c>
      <c r="L7" t="s">
        <v>16</v>
      </c>
      <c r="M7" t="s">
        <v>51</v>
      </c>
    </row>
    <row r="8" spans="1:13" x14ac:dyDescent="0.25">
      <c r="A8" t="s">
        <v>52</v>
      </c>
      <c r="B8" s="15">
        <v>45042</v>
      </c>
      <c r="C8" s="16">
        <v>0.50763888888888886</v>
      </c>
      <c r="D8" t="s">
        <v>53</v>
      </c>
      <c r="E8" t="s">
        <v>40</v>
      </c>
      <c r="F8">
        <v>6</v>
      </c>
      <c r="G8" t="s">
        <v>41</v>
      </c>
      <c r="H8" t="s">
        <v>42</v>
      </c>
      <c r="I8" t="s">
        <v>11</v>
      </c>
      <c r="J8">
        <v>5</v>
      </c>
      <c r="K8">
        <v>10</v>
      </c>
      <c r="L8" t="s">
        <v>16</v>
      </c>
      <c r="M8" t="s">
        <v>51</v>
      </c>
    </row>
    <row r="9" spans="1:13" x14ac:dyDescent="0.25">
      <c r="A9" t="s">
        <v>54</v>
      </c>
      <c r="B9" s="15">
        <v>45043</v>
      </c>
      <c r="C9" s="16">
        <v>0.65555555555555556</v>
      </c>
      <c r="D9" t="s">
        <v>55</v>
      </c>
      <c r="E9" t="s">
        <v>40</v>
      </c>
      <c r="F9">
        <v>10</v>
      </c>
      <c r="G9" t="s">
        <v>41</v>
      </c>
      <c r="H9" t="s">
        <v>42</v>
      </c>
      <c r="I9" t="s">
        <v>11</v>
      </c>
      <c r="J9">
        <v>0</v>
      </c>
      <c r="K9">
        <v>55</v>
      </c>
      <c r="L9" t="s">
        <v>16</v>
      </c>
      <c r="M9" t="s">
        <v>43</v>
      </c>
    </row>
    <row r="10" spans="1:13" x14ac:dyDescent="0.25">
      <c r="A10" t="s">
        <v>56</v>
      </c>
      <c r="B10" s="15">
        <v>45021</v>
      </c>
      <c r="C10" s="16">
        <v>0.61458333333333337</v>
      </c>
      <c r="D10" t="s">
        <v>57</v>
      </c>
      <c r="E10" t="s">
        <v>40</v>
      </c>
      <c r="F10">
        <v>4</v>
      </c>
      <c r="G10" t="s">
        <v>58</v>
      </c>
      <c r="H10" t="s">
        <v>42</v>
      </c>
      <c r="I10" t="s">
        <v>12</v>
      </c>
      <c r="J10">
        <v>9</v>
      </c>
      <c r="K10">
        <v>34</v>
      </c>
      <c r="L10" t="s">
        <v>16</v>
      </c>
      <c r="M10" t="s">
        <v>43</v>
      </c>
    </row>
    <row r="11" spans="1:13" x14ac:dyDescent="0.25">
      <c r="A11" t="s">
        <v>59</v>
      </c>
      <c r="B11" s="15">
        <v>45045</v>
      </c>
      <c r="C11" s="16">
        <v>5.2083333333333336E-2</v>
      </c>
      <c r="D11" t="s">
        <v>60</v>
      </c>
      <c r="E11" t="s">
        <v>48</v>
      </c>
      <c r="F11">
        <v>10</v>
      </c>
      <c r="G11" t="s">
        <v>58</v>
      </c>
      <c r="H11" t="s">
        <v>42</v>
      </c>
      <c r="I11" t="s">
        <v>11</v>
      </c>
      <c r="J11">
        <v>4</v>
      </c>
      <c r="K11">
        <v>36</v>
      </c>
      <c r="L11" t="s">
        <v>16</v>
      </c>
      <c r="M11" t="s">
        <v>43</v>
      </c>
    </row>
    <row r="12" spans="1:13" x14ac:dyDescent="0.25">
      <c r="A12" t="s">
        <v>61</v>
      </c>
      <c r="B12" s="15">
        <v>45410</v>
      </c>
      <c r="C12" s="16">
        <v>0.71388888888888891</v>
      </c>
      <c r="D12" t="s">
        <v>62</v>
      </c>
      <c r="E12" t="s">
        <v>48</v>
      </c>
      <c r="F12">
        <v>10</v>
      </c>
      <c r="G12" t="s">
        <v>58</v>
      </c>
      <c r="H12" t="s">
        <v>42</v>
      </c>
      <c r="I12" t="s">
        <v>12</v>
      </c>
      <c r="J12">
        <v>2</v>
      </c>
      <c r="K12">
        <v>40</v>
      </c>
      <c r="L12" t="s">
        <v>16</v>
      </c>
      <c r="M12" t="s">
        <v>43</v>
      </c>
    </row>
    <row r="13" spans="1:13" x14ac:dyDescent="0.25">
      <c r="A13" t="s">
        <v>63</v>
      </c>
      <c r="B13" s="15">
        <v>45040</v>
      </c>
      <c r="C13" s="16">
        <v>0.2388888888888889</v>
      </c>
      <c r="D13" t="s">
        <v>64</v>
      </c>
      <c r="E13" t="s">
        <v>48</v>
      </c>
      <c r="F13">
        <v>1</v>
      </c>
      <c r="G13" t="s">
        <v>65</v>
      </c>
      <c r="H13" t="s">
        <v>42</v>
      </c>
      <c r="I13" t="s">
        <v>11</v>
      </c>
      <c r="J13">
        <v>6</v>
      </c>
      <c r="K13">
        <v>23</v>
      </c>
      <c r="L13" t="s">
        <v>16</v>
      </c>
      <c r="M13" t="s">
        <v>51</v>
      </c>
    </row>
    <row r="14" spans="1:13" x14ac:dyDescent="0.25">
      <c r="A14" t="s">
        <v>66</v>
      </c>
      <c r="B14" s="15">
        <v>45036</v>
      </c>
      <c r="C14" s="16">
        <v>0.10347222222222222</v>
      </c>
      <c r="D14" t="s">
        <v>67</v>
      </c>
      <c r="E14" t="s">
        <v>40</v>
      </c>
      <c r="F14">
        <v>6</v>
      </c>
      <c r="G14" t="s">
        <v>65</v>
      </c>
      <c r="H14" t="s">
        <v>42</v>
      </c>
      <c r="I14" t="s">
        <v>12</v>
      </c>
      <c r="J14">
        <v>1</v>
      </c>
      <c r="K14">
        <v>26</v>
      </c>
      <c r="L14" t="s">
        <v>16</v>
      </c>
      <c r="M14" t="s">
        <v>51</v>
      </c>
    </row>
    <row r="15" spans="1:13" x14ac:dyDescent="0.25">
      <c r="A15" t="s">
        <v>68</v>
      </c>
      <c r="B15" s="15">
        <v>45030</v>
      </c>
      <c r="C15" s="16">
        <v>0.79513888888888884</v>
      </c>
      <c r="D15" t="s">
        <v>69</v>
      </c>
      <c r="E15" t="s">
        <v>48</v>
      </c>
      <c r="F15">
        <v>10</v>
      </c>
      <c r="G15" t="s">
        <v>70</v>
      </c>
      <c r="H15" t="s">
        <v>42</v>
      </c>
      <c r="I15" t="s">
        <v>12</v>
      </c>
      <c r="J15">
        <v>10</v>
      </c>
      <c r="K15">
        <v>22</v>
      </c>
      <c r="L15" t="s">
        <v>16</v>
      </c>
      <c r="M15" t="s">
        <v>51</v>
      </c>
    </row>
    <row r="16" spans="1:13" x14ac:dyDescent="0.25">
      <c r="A16" t="s">
        <v>71</v>
      </c>
      <c r="B16" s="15">
        <v>45026</v>
      </c>
      <c r="C16" s="16">
        <v>0.36041666666666666</v>
      </c>
      <c r="D16" t="s">
        <v>72</v>
      </c>
      <c r="E16" t="s">
        <v>40</v>
      </c>
      <c r="F16">
        <v>3</v>
      </c>
      <c r="G16" t="s">
        <v>73</v>
      </c>
      <c r="H16" t="s">
        <v>42</v>
      </c>
      <c r="I16" t="s">
        <v>11</v>
      </c>
      <c r="J16">
        <v>0</v>
      </c>
      <c r="K16">
        <v>36</v>
      </c>
      <c r="L16" t="s">
        <v>16</v>
      </c>
      <c r="M16" t="s">
        <v>43</v>
      </c>
    </row>
    <row r="17" spans="1:13" x14ac:dyDescent="0.25">
      <c r="A17" t="s">
        <v>74</v>
      </c>
      <c r="B17" s="15">
        <v>45399</v>
      </c>
      <c r="C17" s="16">
        <v>0.59861111111111109</v>
      </c>
      <c r="D17" t="s">
        <v>75</v>
      </c>
      <c r="E17" t="s">
        <v>48</v>
      </c>
      <c r="F17">
        <v>4</v>
      </c>
      <c r="G17" t="s">
        <v>73</v>
      </c>
      <c r="H17" t="s">
        <v>42</v>
      </c>
      <c r="I17" t="s">
        <v>11</v>
      </c>
      <c r="J17">
        <v>1</v>
      </c>
      <c r="K17">
        <v>48</v>
      </c>
      <c r="L17" t="s">
        <v>16</v>
      </c>
      <c r="M17" t="s">
        <v>43</v>
      </c>
    </row>
    <row r="18" spans="1:13" x14ac:dyDescent="0.25">
      <c r="A18" t="s">
        <v>76</v>
      </c>
      <c r="B18" s="15">
        <v>45409</v>
      </c>
      <c r="C18" s="16">
        <v>0.26319444444444445</v>
      </c>
      <c r="D18" t="s">
        <v>77</v>
      </c>
      <c r="E18" t="s">
        <v>40</v>
      </c>
      <c r="F18">
        <v>10</v>
      </c>
      <c r="G18" t="s">
        <v>78</v>
      </c>
      <c r="H18" t="s">
        <v>42</v>
      </c>
      <c r="I18" t="s">
        <v>11</v>
      </c>
      <c r="J18">
        <v>3</v>
      </c>
      <c r="K18">
        <v>14</v>
      </c>
      <c r="L18" t="s">
        <v>16</v>
      </c>
      <c r="M18" t="s">
        <v>51</v>
      </c>
    </row>
    <row r="19" spans="1:13" x14ac:dyDescent="0.25">
      <c r="A19" t="s">
        <v>79</v>
      </c>
      <c r="B19" s="15">
        <v>45388</v>
      </c>
      <c r="C19" s="16">
        <v>0.76736111111111116</v>
      </c>
      <c r="D19" t="s">
        <v>80</v>
      </c>
      <c r="E19" t="s">
        <v>48</v>
      </c>
      <c r="F19">
        <v>4</v>
      </c>
      <c r="G19" t="s">
        <v>78</v>
      </c>
      <c r="H19" t="s">
        <v>42</v>
      </c>
      <c r="I19" t="s">
        <v>12</v>
      </c>
      <c r="J19">
        <v>7</v>
      </c>
      <c r="K19">
        <v>42</v>
      </c>
      <c r="L19" t="s">
        <v>16</v>
      </c>
      <c r="M19" t="s">
        <v>43</v>
      </c>
    </row>
    <row r="20" spans="1:13" x14ac:dyDescent="0.25">
      <c r="A20" t="s">
        <v>81</v>
      </c>
      <c r="B20" s="15">
        <v>45046</v>
      </c>
      <c r="C20" s="16">
        <v>0.90138888888888891</v>
      </c>
      <c r="D20" t="s">
        <v>82</v>
      </c>
      <c r="E20" t="s">
        <v>40</v>
      </c>
      <c r="F20">
        <v>2</v>
      </c>
      <c r="G20" t="s">
        <v>83</v>
      </c>
      <c r="H20" t="s">
        <v>42</v>
      </c>
      <c r="I20" t="s">
        <v>11</v>
      </c>
      <c r="J20">
        <v>8</v>
      </c>
      <c r="K20">
        <v>44</v>
      </c>
      <c r="L20" t="s">
        <v>16</v>
      </c>
      <c r="M20" t="s">
        <v>43</v>
      </c>
    </row>
    <row r="21" spans="1:13" x14ac:dyDescent="0.25">
      <c r="A21" t="s">
        <v>84</v>
      </c>
      <c r="B21" s="15">
        <v>45034</v>
      </c>
      <c r="C21" s="16">
        <v>3.472222222222222E-3</v>
      </c>
      <c r="D21" t="s">
        <v>85</v>
      </c>
      <c r="E21" t="s">
        <v>48</v>
      </c>
      <c r="F21">
        <v>2</v>
      </c>
      <c r="G21" t="s">
        <v>83</v>
      </c>
      <c r="H21" t="s">
        <v>42</v>
      </c>
      <c r="I21" t="s">
        <v>11</v>
      </c>
      <c r="J21">
        <v>6</v>
      </c>
      <c r="K21">
        <v>39</v>
      </c>
      <c r="L21" t="s">
        <v>16</v>
      </c>
      <c r="M21" t="s">
        <v>43</v>
      </c>
    </row>
    <row r="22" spans="1:13" x14ac:dyDescent="0.25">
      <c r="A22" t="s">
        <v>86</v>
      </c>
      <c r="B22" s="15">
        <v>45401</v>
      </c>
      <c r="C22" s="16">
        <v>0.7729166666666667</v>
      </c>
      <c r="D22" t="s">
        <v>87</v>
      </c>
      <c r="E22" t="s">
        <v>48</v>
      </c>
      <c r="F22">
        <v>10</v>
      </c>
      <c r="G22" t="s">
        <v>83</v>
      </c>
      <c r="H22" t="s">
        <v>42</v>
      </c>
      <c r="I22" t="s">
        <v>11</v>
      </c>
      <c r="J22">
        <v>0</v>
      </c>
      <c r="K22">
        <v>58</v>
      </c>
      <c r="L22" t="s">
        <v>16</v>
      </c>
      <c r="M22" t="s">
        <v>43</v>
      </c>
    </row>
    <row r="23" spans="1:13" x14ac:dyDescent="0.25">
      <c r="A23" t="s">
        <v>88</v>
      </c>
      <c r="B23" s="15">
        <v>45395</v>
      </c>
      <c r="C23" s="16">
        <v>0.96527777777777779</v>
      </c>
      <c r="D23" t="s">
        <v>89</v>
      </c>
      <c r="E23" t="s">
        <v>48</v>
      </c>
      <c r="F23">
        <v>6</v>
      </c>
      <c r="G23" t="s">
        <v>41</v>
      </c>
      <c r="H23" t="s">
        <v>90</v>
      </c>
      <c r="I23" t="s">
        <v>11</v>
      </c>
      <c r="J23">
        <v>2</v>
      </c>
      <c r="K23">
        <v>44</v>
      </c>
      <c r="L23" t="s">
        <v>16</v>
      </c>
      <c r="M23" t="s">
        <v>43</v>
      </c>
    </row>
    <row r="24" spans="1:13" x14ac:dyDescent="0.25">
      <c r="A24" t="s">
        <v>91</v>
      </c>
      <c r="B24" s="15">
        <v>45030</v>
      </c>
      <c r="C24" s="16">
        <v>0.54166666666666663</v>
      </c>
      <c r="D24" t="s">
        <v>92</v>
      </c>
      <c r="E24" t="s">
        <v>40</v>
      </c>
      <c r="F24">
        <v>3</v>
      </c>
      <c r="G24" t="s">
        <v>41</v>
      </c>
      <c r="H24" t="s">
        <v>90</v>
      </c>
      <c r="I24" t="s">
        <v>12</v>
      </c>
      <c r="J24">
        <v>6</v>
      </c>
      <c r="K24">
        <v>54</v>
      </c>
      <c r="L24" t="s">
        <v>16</v>
      </c>
      <c r="M24" t="s">
        <v>43</v>
      </c>
    </row>
    <row r="25" spans="1:13" x14ac:dyDescent="0.25">
      <c r="A25" t="s">
        <v>93</v>
      </c>
      <c r="B25" s="15">
        <v>45028</v>
      </c>
      <c r="C25" s="16">
        <v>0.56527777777777777</v>
      </c>
      <c r="D25" t="s">
        <v>94</v>
      </c>
      <c r="E25" t="s">
        <v>40</v>
      </c>
      <c r="F25">
        <v>5</v>
      </c>
      <c r="G25" t="s">
        <v>78</v>
      </c>
      <c r="H25" t="s">
        <v>90</v>
      </c>
      <c r="I25" t="s">
        <v>12</v>
      </c>
      <c r="J25">
        <v>6</v>
      </c>
      <c r="K25">
        <v>54</v>
      </c>
      <c r="L25" t="s">
        <v>16</v>
      </c>
      <c r="M25" t="s">
        <v>43</v>
      </c>
    </row>
    <row r="26" spans="1:13" x14ac:dyDescent="0.25">
      <c r="A26" t="s">
        <v>95</v>
      </c>
      <c r="B26" s="15">
        <v>45021</v>
      </c>
      <c r="C26" s="16">
        <v>0.92986111111111114</v>
      </c>
      <c r="D26" t="s">
        <v>96</v>
      </c>
      <c r="E26" t="s">
        <v>40</v>
      </c>
      <c r="F26">
        <v>2</v>
      </c>
      <c r="G26" t="s">
        <v>65</v>
      </c>
      <c r="H26" t="s">
        <v>90</v>
      </c>
      <c r="I26" t="s">
        <v>11</v>
      </c>
      <c r="J26">
        <v>0</v>
      </c>
      <c r="K26">
        <v>44</v>
      </c>
      <c r="L26" t="s">
        <v>16</v>
      </c>
      <c r="M26" t="s">
        <v>43</v>
      </c>
    </row>
    <row r="27" spans="1:13" x14ac:dyDescent="0.25">
      <c r="A27" t="s">
        <v>97</v>
      </c>
      <c r="B27" s="15">
        <v>45036</v>
      </c>
      <c r="C27" s="16">
        <v>0.97569444444444442</v>
      </c>
      <c r="D27" t="s">
        <v>98</v>
      </c>
      <c r="E27" t="s">
        <v>40</v>
      </c>
      <c r="F27">
        <v>4</v>
      </c>
      <c r="G27" t="s">
        <v>65</v>
      </c>
      <c r="H27" t="s">
        <v>90</v>
      </c>
      <c r="I27" t="s">
        <v>12</v>
      </c>
      <c r="J27">
        <v>0</v>
      </c>
      <c r="K27">
        <v>60</v>
      </c>
      <c r="L27" t="s">
        <v>16</v>
      </c>
      <c r="M27" t="s">
        <v>43</v>
      </c>
    </row>
    <row r="28" spans="1:13" x14ac:dyDescent="0.25">
      <c r="A28" t="s">
        <v>99</v>
      </c>
      <c r="B28" s="15">
        <v>45033</v>
      </c>
      <c r="C28" s="16">
        <v>0.43055555555555558</v>
      </c>
      <c r="D28" t="s">
        <v>100</v>
      </c>
      <c r="E28" t="s">
        <v>48</v>
      </c>
      <c r="F28">
        <v>10</v>
      </c>
      <c r="G28" t="s">
        <v>65</v>
      </c>
      <c r="H28" t="s">
        <v>90</v>
      </c>
      <c r="I28" t="s">
        <v>12</v>
      </c>
      <c r="J28">
        <v>7</v>
      </c>
      <c r="K28">
        <v>50</v>
      </c>
      <c r="L28" t="s">
        <v>16</v>
      </c>
      <c r="M28" t="s">
        <v>43</v>
      </c>
    </row>
    <row r="29" spans="1:13" x14ac:dyDescent="0.25">
      <c r="A29" t="s">
        <v>101</v>
      </c>
      <c r="B29" s="15">
        <v>45021</v>
      </c>
      <c r="C29" s="16">
        <v>0.69930555555555551</v>
      </c>
      <c r="D29" t="s">
        <v>102</v>
      </c>
      <c r="E29" t="s">
        <v>40</v>
      </c>
      <c r="F29">
        <v>5</v>
      </c>
      <c r="G29" t="s">
        <v>41</v>
      </c>
      <c r="H29" t="s">
        <v>103</v>
      </c>
      <c r="I29" t="s">
        <v>11</v>
      </c>
      <c r="J29">
        <v>7</v>
      </c>
      <c r="K29">
        <v>56</v>
      </c>
      <c r="L29" t="s">
        <v>16</v>
      </c>
      <c r="M29" t="s">
        <v>43</v>
      </c>
    </row>
    <row r="30" spans="1:13" x14ac:dyDescent="0.25">
      <c r="A30" t="s">
        <v>104</v>
      </c>
      <c r="B30" s="15">
        <v>45024</v>
      </c>
      <c r="C30" s="16">
        <v>0.84027777777777779</v>
      </c>
      <c r="D30" t="s">
        <v>105</v>
      </c>
      <c r="E30" t="s">
        <v>48</v>
      </c>
      <c r="F30">
        <v>2</v>
      </c>
      <c r="G30" t="s">
        <v>65</v>
      </c>
      <c r="H30" t="s">
        <v>103</v>
      </c>
      <c r="I30" t="s">
        <v>12</v>
      </c>
      <c r="J30">
        <v>8</v>
      </c>
      <c r="K30">
        <v>25</v>
      </c>
      <c r="L30" t="s">
        <v>16</v>
      </c>
      <c r="M30" t="s">
        <v>51</v>
      </c>
    </row>
    <row r="31" spans="1:13" x14ac:dyDescent="0.25">
      <c r="A31" t="s">
        <v>106</v>
      </c>
      <c r="B31" s="15">
        <v>45405</v>
      </c>
      <c r="C31" s="16">
        <v>0.29791666666666666</v>
      </c>
      <c r="D31" t="s">
        <v>107</v>
      </c>
      <c r="E31" t="s">
        <v>40</v>
      </c>
      <c r="F31">
        <v>2</v>
      </c>
      <c r="G31" t="s">
        <v>65</v>
      </c>
      <c r="H31" t="s">
        <v>103</v>
      </c>
      <c r="I31" t="s">
        <v>12</v>
      </c>
      <c r="J31">
        <v>6</v>
      </c>
      <c r="K31">
        <v>47</v>
      </c>
      <c r="L31" t="s">
        <v>16</v>
      </c>
      <c r="M31" t="s">
        <v>43</v>
      </c>
    </row>
    <row r="32" spans="1:13" x14ac:dyDescent="0.25">
      <c r="A32" t="s">
        <v>108</v>
      </c>
      <c r="B32" s="15">
        <v>45041</v>
      </c>
      <c r="C32" s="16">
        <v>3.0555555555555555E-2</v>
      </c>
      <c r="D32" t="s">
        <v>109</v>
      </c>
      <c r="E32" t="s">
        <v>40</v>
      </c>
      <c r="F32">
        <v>10</v>
      </c>
      <c r="G32" t="s">
        <v>58</v>
      </c>
      <c r="H32" t="s">
        <v>103</v>
      </c>
      <c r="I32" t="s">
        <v>11</v>
      </c>
      <c r="J32">
        <v>8</v>
      </c>
      <c r="K32">
        <v>52</v>
      </c>
      <c r="L32" t="s">
        <v>16</v>
      </c>
      <c r="M32" t="s">
        <v>43</v>
      </c>
    </row>
    <row r="33" spans="1:13" x14ac:dyDescent="0.25">
      <c r="A33" t="s">
        <v>110</v>
      </c>
      <c r="B33" s="15">
        <v>45412</v>
      </c>
      <c r="C33" s="16">
        <v>0.52777777777777779</v>
      </c>
      <c r="D33" t="s">
        <v>111</v>
      </c>
      <c r="E33" t="s">
        <v>40</v>
      </c>
      <c r="F33">
        <v>8</v>
      </c>
      <c r="G33" t="s">
        <v>58</v>
      </c>
      <c r="H33" t="s">
        <v>103</v>
      </c>
      <c r="I33" t="s">
        <v>11</v>
      </c>
      <c r="J33">
        <v>3</v>
      </c>
      <c r="K33">
        <v>51</v>
      </c>
      <c r="L33" t="s">
        <v>16</v>
      </c>
      <c r="M33" t="s">
        <v>43</v>
      </c>
    </row>
    <row r="34" spans="1:13" x14ac:dyDescent="0.25">
      <c r="A34" t="s">
        <v>112</v>
      </c>
      <c r="B34" s="15">
        <v>45401</v>
      </c>
      <c r="C34" s="16">
        <v>0.98124999999999996</v>
      </c>
      <c r="D34" t="s">
        <v>113</v>
      </c>
      <c r="E34" t="s">
        <v>48</v>
      </c>
      <c r="F34">
        <v>4</v>
      </c>
      <c r="G34" t="s">
        <v>58</v>
      </c>
      <c r="H34" t="s">
        <v>103</v>
      </c>
      <c r="I34" t="s">
        <v>11</v>
      </c>
      <c r="J34">
        <v>7</v>
      </c>
      <c r="K34">
        <v>15</v>
      </c>
      <c r="L34" t="s">
        <v>16</v>
      </c>
      <c r="M34" t="s">
        <v>51</v>
      </c>
    </row>
    <row r="35" spans="1:13" x14ac:dyDescent="0.25">
      <c r="A35" t="s">
        <v>114</v>
      </c>
      <c r="B35" s="15">
        <v>45399</v>
      </c>
      <c r="C35" s="16">
        <v>0.40902777777777777</v>
      </c>
      <c r="D35" t="s">
        <v>115</v>
      </c>
      <c r="E35" t="s">
        <v>48</v>
      </c>
      <c r="F35">
        <v>10</v>
      </c>
      <c r="G35" t="s">
        <v>58</v>
      </c>
      <c r="H35" t="s">
        <v>103</v>
      </c>
      <c r="I35" t="s">
        <v>12</v>
      </c>
      <c r="J35">
        <v>2</v>
      </c>
      <c r="K35">
        <v>30</v>
      </c>
      <c r="L35" t="s">
        <v>16</v>
      </c>
      <c r="M35" t="s">
        <v>51</v>
      </c>
    </row>
    <row r="36" spans="1:13" x14ac:dyDescent="0.25">
      <c r="A36" t="s">
        <v>116</v>
      </c>
      <c r="B36" s="15">
        <v>45044</v>
      </c>
      <c r="C36" s="16">
        <v>0.74930555555555556</v>
      </c>
      <c r="D36" t="s">
        <v>117</v>
      </c>
      <c r="E36" t="s">
        <v>40</v>
      </c>
      <c r="F36">
        <v>2</v>
      </c>
      <c r="G36" t="s">
        <v>41</v>
      </c>
      <c r="H36" t="s">
        <v>118</v>
      </c>
      <c r="I36" t="s">
        <v>11</v>
      </c>
      <c r="J36">
        <v>10</v>
      </c>
      <c r="K36">
        <v>56</v>
      </c>
      <c r="L36" t="s">
        <v>16</v>
      </c>
      <c r="M36" t="s">
        <v>43</v>
      </c>
    </row>
    <row r="37" spans="1:13" x14ac:dyDescent="0.25">
      <c r="A37" t="s">
        <v>119</v>
      </c>
      <c r="B37" s="15">
        <v>45025</v>
      </c>
      <c r="C37" s="16">
        <v>0.13263888888888889</v>
      </c>
      <c r="D37" t="s">
        <v>120</v>
      </c>
      <c r="E37" t="s">
        <v>48</v>
      </c>
      <c r="F37">
        <v>7</v>
      </c>
      <c r="G37" t="s">
        <v>41</v>
      </c>
      <c r="H37" t="s">
        <v>121</v>
      </c>
      <c r="I37" t="s">
        <v>11</v>
      </c>
      <c r="J37">
        <v>7</v>
      </c>
      <c r="K37">
        <v>18</v>
      </c>
      <c r="L37" t="s">
        <v>16</v>
      </c>
      <c r="M37" t="s">
        <v>51</v>
      </c>
    </row>
    <row r="38" spans="1:13" x14ac:dyDescent="0.25">
      <c r="A38" t="s">
        <v>122</v>
      </c>
      <c r="B38" s="15">
        <v>45035</v>
      </c>
      <c r="C38" s="16">
        <v>0.13472222222222222</v>
      </c>
      <c r="D38" t="s">
        <v>123</v>
      </c>
      <c r="E38" t="s">
        <v>40</v>
      </c>
      <c r="F38">
        <v>2</v>
      </c>
      <c r="G38" t="s">
        <v>41</v>
      </c>
      <c r="H38" t="s">
        <v>124</v>
      </c>
      <c r="I38" t="s">
        <v>12</v>
      </c>
      <c r="J38">
        <v>4</v>
      </c>
      <c r="K38">
        <v>52</v>
      </c>
      <c r="L38" t="s">
        <v>16</v>
      </c>
      <c r="M38" t="s">
        <v>43</v>
      </c>
    </row>
    <row r="39" spans="1:13" x14ac:dyDescent="0.25">
      <c r="A39" t="s">
        <v>125</v>
      </c>
      <c r="B39" s="15">
        <v>45385</v>
      </c>
      <c r="C39" s="16">
        <v>0.93402777777777779</v>
      </c>
      <c r="D39" t="s">
        <v>126</v>
      </c>
      <c r="E39" t="s">
        <v>40</v>
      </c>
      <c r="F39">
        <v>1</v>
      </c>
      <c r="G39" t="s">
        <v>73</v>
      </c>
      <c r="H39" t="s">
        <v>124</v>
      </c>
      <c r="I39" t="s">
        <v>11</v>
      </c>
      <c r="J39">
        <v>8</v>
      </c>
      <c r="K39">
        <v>31</v>
      </c>
      <c r="L39" t="s">
        <v>16</v>
      </c>
      <c r="M39" t="s">
        <v>43</v>
      </c>
    </row>
    <row r="40" spans="1:13" x14ac:dyDescent="0.25">
      <c r="A40" t="s">
        <v>127</v>
      </c>
      <c r="B40" s="15">
        <v>45027</v>
      </c>
      <c r="C40" s="16">
        <v>0.87916666666666665</v>
      </c>
      <c r="D40" t="s">
        <v>128</v>
      </c>
      <c r="E40" t="s">
        <v>48</v>
      </c>
      <c r="F40">
        <v>1</v>
      </c>
      <c r="G40" t="s">
        <v>65</v>
      </c>
      <c r="H40" t="s">
        <v>121</v>
      </c>
      <c r="I40" t="s">
        <v>11</v>
      </c>
      <c r="J40">
        <v>6</v>
      </c>
      <c r="K40">
        <v>21</v>
      </c>
      <c r="L40" t="s">
        <v>16</v>
      </c>
      <c r="M40" t="s">
        <v>51</v>
      </c>
    </row>
    <row r="41" spans="1:13" x14ac:dyDescent="0.25">
      <c r="A41" t="s">
        <v>129</v>
      </c>
      <c r="B41" s="15">
        <v>45397</v>
      </c>
      <c r="C41" s="16">
        <v>0.51875000000000004</v>
      </c>
      <c r="D41" t="s">
        <v>130</v>
      </c>
      <c r="E41" t="s">
        <v>40</v>
      </c>
      <c r="F41">
        <v>6</v>
      </c>
      <c r="G41" t="s">
        <v>65</v>
      </c>
      <c r="H41" t="s">
        <v>118</v>
      </c>
      <c r="I41" t="s">
        <v>12</v>
      </c>
      <c r="J41">
        <v>4</v>
      </c>
      <c r="K41">
        <v>41</v>
      </c>
      <c r="L41" t="s">
        <v>16</v>
      </c>
      <c r="M41" t="s">
        <v>43</v>
      </c>
    </row>
    <row r="42" spans="1:13" x14ac:dyDescent="0.25">
      <c r="A42" t="s">
        <v>131</v>
      </c>
      <c r="B42" s="15">
        <v>45029</v>
      </c>
      <c r="C42" s="16">
        <v>0.22291666666666668</v>
      </c>
      <c r="D42" t="s">
        <v>132</v>
      </c>
      <c r="E42" t="s">
        <v>40</v>
      </c>
      <c r="F42">
        <v>9</v>
      </c>
      <c r="G42" t="s">
        <v>58</v>
      </c>
      <c r="H42" t="s">
        <v>118</v>
      </c>
      <c r="I42" t="s">
        <v>12</v>
      </c>
      <c r="J42">
        <v>9</v>
      </c>
      <c r="K42">
        <v>56</v>
      </c>
      <c r="L42" t="s">
        <v>16</v>
      </c>
      <c r="M42" t="s">
        <v>43</v>
      </c>
    </row>
    <row r="43" spans="1:13" x14ac:dyDescent="0.25">
      <c r="A43" t="s">
        <v>133</v>
      </c>
      <c r="B43" s="15">
        <v>45388</v>
      </c>
      <c r="C43" s="16">
        <v>0.5</v>
      </c>
      <c r="D43" t="s">
        <v>134</v>
      </c>
      <c r="E43" t="s">
        <v>48</v>
      </c>
      <c r="F43">
        <v>4</v>
      </c>
      <c r="G43" t="s">
        <v>58</v>
      </c>
      <c r="H43" t="s">
        <v>121</v>
      </c>
      <c r="I43" t="s">
        <v>12</v>
      </c>
      <c r="J43">
        <v>6</v>
      </c>
      <c r="K43">
        <v>47</v>
      </c>
      <c r="L43" t="s">
        <v>16</v>
      </c>
      <c r="M43" t="s">
        <v>43</v>
      </c>
    </row>
    <row r="44" spans="1:13" x14ac:dyDescent="0.25">
      <c r="A44" t="s">
        <v>135</v>
      </c>
      <c r="B44" s="15">
        <v>45042</v>
      </c>
      <c r="C44" s="16">
        <v>0.85763888888888884</v>
      </c>
      <c r="D44" t="s">
        <v>136</v>
      </c>
      <c r="E44" t="s">
        <v>48</v>
      </c>
      <c r="F44">
        <v>9</v>
      </c>
      <c r="G44" t="s">
        <v>58</v>
      </c>
      <c r="H44" t="s">
        <v>121</v>
      </c>
      <c r="I44" t="s">
        <v>11</v>
      </c>
      <c r="K44">
        <v>56</v>
      </c>
      <c r="L44" t="s">
        <v>16</v>
      </c>
      <c r="M44" t="s">
        <v>43</v>
      </c>
    </row>
    <row r="45" spans="1:13" x14ac:dyDescent="0.25">
      <c r="A45" t="s">
        <v>137</v>
      </c>
      <c r="B45" s="15">
        <v>45383</v>
      </c>
      <c r="C45" s="16">
        <v>0.93541666666666667</v>
      </c>
      <c r="D45" t="s">
        <v>138</v>
      </c>
      <c r="E45" t="s">
        <v>40</v>
      </c>
      <c r="F45">
        <v>4</v>
      </c>
      <c r="G45" t="s">
        <v>65</v>
      </c>
      <c r="H45" t="s">
        <v>121</v>
      </c>
      <c r="I45" t="s">
        <v>12</v>
      </c>
      <c r="K45">
        <v>30</v>
      </c>
      <c r="L45" t="s">
        <v>16</v>
      </c>
      <c r="M45" t="s">
        <v>51</v>
      </c>
    </row>
    <row r="46" spans="1:13" x14ac:dyDescent="0.25">
      <c r="A46" t="s">
        <v>139</v>
      </c>
      <c r="B46" s="15">
        <v>45405</v>
      </c>
      <c r="C46" s="16">
        <v>0.6875</v>
      </c>
      <c r="D46" t="s">
        <v>140</v>
      </c>
      <c r="E46" t="s">
        <v>48</v>
      </c>
      <c r="F46">
        <v>4</v>
      </c>
      <c r="G46" t="s">
        <v>41</v>
      </c>
      <c r="H46" t="s">
        <v>141</v>
      </c>
      <c r="I46" t="s">
        <v>11</v>
      </c>
      <c r="K46">
        <v>21</v>
      </c>
      <c r="L46" t="s">
        <v>16</v>
      </c>
      <c r="M46" t="s">
        <v>51</v>
      </c>
    </row>
    <row r="47" spans="1:13" x14ac:dyDescent="0.25">
      <c r="A47" t="s">
        <v>142</v>
      </c>
      <c r="B47" s="15">
        <v>45041</v>
      </c>
      <c r="C47" s="16">
        <v>0.32708333333333334</v>
      </c>
      <c r="D47" t="s">
        <v>143</v>
      </c>
      <c r="E47" t="s">
        <v>48</v>
      </c>
      <c r="F47">
        <v>10</v>
      </c>
      <c r="G47" t="s">
        <v>58</v>
      </c>
      <c r="H47" t="s">
        <v>141</v>
      </c>
      <c r="I47" t="s">
        <v>11</v>
      </c>
      <c r="K47">
        <v>41</v>
      </c>
      <c r="L47" t="s">
        <v>16</v>
      </c>
      <c r="M47" t="s">
        <v>43</v>
      </c>
    </row>
    <row r="48" spans="1:13" x14ac:dyDescent="0.25">
      <c r="A48" t="s">
        <v>144</v>
      </c>
      <c r="B48" s="15">
        <v>45046</v>
      </c>
      <c r="C48" s="16">
        <v>0.17986111111111111</v>
      </c>
      <c r="D48" t="s">
        <v>145</v>
      </c>
      <c r="E48" t="s">
        <v>40</v>
      </c>
      <c r="F48">
        <v>4</v>
      </c>
      <c r="G48" t="s">
        <v>70</v>
      </c>
      <c r="H48" t="s">
        <v>141</v>
      </c>
      <c r="I48" t="s">
        <v>12</v>
      </c>
      <c r="K48">
        <v>27</v>
      </c>
      <c r="L48" t="s">
        <v>16</v>
      </c>
      <c r="M48" t="s">
        <v>51</v>
      </c>
    </row>
    <row r="49" spans="1:13" x14ac:dyDescent="0.25">
      <c r="A49" t="s">
        <v>146</v>
      </c>
      <c r="B49" s="15">
        <v>45031</v>
      </c>
      <c r="C49" s="16">
        <v>0.96597222222222223</v>
      </c>
      <c r="D49" t="s">
        <v>147</v>
      </c>
      <c r="E49" t="s">
        <v>40</v>
      </c>
      <c r="F49">
        <v>4</v>
      </c>
      <c r="G49" t="s">
        <v>41</v>
      </c>
      <c r="H49" t="s">
        <v>148</v>
      </c>
      <c r="I49" t="s">
        <v>11</v>
      </c>
      <c r="K49">
        <v>12</v>
      </c>
      <c r="L49" t="s">
        <v>16</v>
      </c>
      <c r="M49" t="s">
        <v>51</v>
      </c>
    </row>
    <row r="50" spans="1:13" x14ac:dyDescent="0.25">
      <c r="A50" t="s">
        <v>149</v>
      </c>
      <c r="B50" s="15">
        <v>45017</v>
      </c>
      <c r="C50" s="16">
        <v>0.92361111111111116</v>
      </c>
      <c r="D50" t="s">
        <v>150</v>
      </c>
      <c r="E50" t="s">
        <v>40</v>
      </c>
      <c r="F50">
        <v>10</v>
      </c>
      <c r="G50" t="s">
        <v>65</v>
      </c>
      <c r="H50" t="s">
        <v>148</v>
      </c>
      <c r="I50" t="s">
        <v>12</v>
      </c>
      <c r="K50">
        <v>45</v>
      </c>
      <c r="L50" t="s">
        <v>16</v>
      </c>
      <c r="M50" t="s">
        <v>43</v>
      </c>
    </row>
    <row r="51" spans="1:13" x14ac:dyDescent="0.25">
      <c r="A51" t="s">
        <v>151</v>
      </c>
      <c r="B51" s="15">
        <v>45392</v>
      </c>
      <c r="C51" s="16">
        <v>0.37708333333333333</v>
      </c>
      <c r="D51" t="s">
        <v>152</v>
      </c>
      <c r="E51" t="s">
        <v>40</v>
      </c>
      <c r="F51">
        <v>10</v>
      </c>
      <c r="G51" t="s">
        <v>65</v>
      </c>
      <c r="H51" t="s">
        <v>148</v>
      </c>
      <c r="I51" t="s">
        <v>12</v>
      </c>
      <c r="K51">
        <v>19</v>
      </c>
      <c r="L51" t="s">
        <v>16</v>
      </c>
      <c r="M51" t="s">
        <v>51</v>
      </c>
    </row>
    <row r="52" spans="1:13" x14ac:dyDescent="0.25">
      <c r="A52" t="s">
        <v>153</v>
      </c>
      <c r="B52" s="15">
        <v>45409</v>
      </c>
      <c r="C52" s="16">
        <v>0.92569444444444449</v>
      </c>
      <c r="D52" t="s">
        <v>154</v>
      </c>
      <c r="E52" t="s">
        <v>48</v>
      </c>
      <c r="F52">
        <v>6</v>
      </c>
      <c r="G52" t="s">
        <v>65</v>
      </c>
      <c r="H52" t="s">
        <v>148</v>
      </c>
      <c r="I52" t="s">
        <v>12</v>
      </c>
      <c r="K52">
        <v>18</v>
      </c>
      <c r="L52" t="s">
        <v>16</v>
      </c>
      <c r="M52" t="s">
        <v>51</v>
      </c>
    </row>
    <row r="53" spans="1:13" x14ac:dyDescent="0.25">
      <c r="A53" t="s">
        <v>155</v>
      </c>
      <c r="B53" s="15">
        <v>45406</v>
      </c>
      <c r="C53" s="16">
        <v>0.47569444444444442</v>
      </c>
      <c r="D53" t="s">
        <v>156</v>
      </c>
      <c r="E53" t="s">
        <v>48</v>
      </c>
      <c r="F53">
        <v>4</v>
      </c>
      <c r="G53" t="s">
        <v>78</v>
      </c>
      <c r="H53" t="s">
        <v>118</v>
      </c>
      <c r="I53" t="s">
        <v>12</v>
      </c>
      <c r="K53">
        <v>22</v>
      </c>
      <c r="L53" t="s">
        <v>16</v>
      </c>
      <c r="M53" t="s">
        <v>51</v>
      </c>
    </row>
    <row r="54" spans="1:13" x14ac:dyDescent="0.25">
      <c r="A54" t="s">
        <v>157</v>
      </c>
      <c r="B54" s="15">
        <v>45399</v>
      </c>
      <c r="C54" s="16">
        <v>0.4284722222222222</v>
      </c>
      <c r="D54" t="s">
        <v>158</v>
      </c>
      <c r="E54" t="s">
        <v>48</v>
      </c>
      <c r="F54">
        <v>7</v>
      </c>
      <c r="G54" t="s">
        <v>41</v>
      </c>
      <c r="H54" t="s">
        <v>118</v>
      </c>
      <c r="I54" t="s">
        <v>12</v>
      </c>
      <c r="K54">
        <v>53</v>
      </c>
      <c r="L54" t="s">
        <v>16</v>
      </c>
      <c r="M54" t="s">
        <v>43</v>
      </c>
    </row>
    <row r="55" spans="1:13" x14ac:dyDescent="0.25">
      <c r="A55" t="s">
        <v>159</v>
      </c>
      <c r="B55" s="15">
        <v>45024</v>
      </c>
      <c r="C55" s="16">
        <v>0.71250000000000002</v>
      </c>
      <c r="D55" t="s">
        <v>160</v>
      </c>
      <c r="E55" t="s">
        <v>48</v>
      </c>
      <c r="F55">
        <v>1</v>
      </c>
      <c r="G55" t="s">
        <v>78</v>
      </c>
      <c r="H55" t="s">
        <v>103</v>
      </c>
      <c r="I55" t="s">
        <v>12</v>
      </c>
      <c r="K55">
        <v>50</v>
      </c>
      <c r="L55" t="s">
        <v>16</v>
      </c>
      <c r="M55" t="s">
        <v>43</v>
      </c>
    </row>
    <row r="56" spans="1:13" x14ac:dyDescent="0.25">
      <c r="A56" t="s">
        <v>161</v>
      </c>
      <c r="B56" s="15">
        <v>45019</v>
      </c>
      <c r="C56" s="16">
        <v>0.41666666666666669</v>
      </c>
      <c r="D56" t="s">
        <v>162</v>
      </c>
      <c r="E56" t="s">
        <v>40</v>
      </c>
      <c r="F56">
        <v>3</v>
      </c>
      <c r="G56" t="s">
        <v>83</v>
      </c>
      <c r="H56" t="s">
        <v>103</v>
      </c>
      <c r="I56" t="s">
        <v>11</v>
      </c>
      <c r="K56">
        <v>22</v>
      </c>
      <c r="L56" t="s">
        <v>16</v>
      </c>
      <c r="M56" t="s">
        <v>51</v>
      </c>
    </row>
    <row r="57" spans="1:13" x14ac:dyDescent="0.25">
      <c r="A57" t="s">
        <v>163</v>
      </c>
      <c r="B57" s="15">
        <v>45407</v>
      </c>
      <c r="C57" s="16">
        <v>0.43194444444444446</v>
      </c>
      <c r="D57" t="s">
        <v>164</v>
      </c>
      <c r="E57" t="s">
        <v>48</v>
      </c>
      <c r="F57">
        <v>3</v>
      </c>
      <c r="G57" t="s">
        <v>65</v>
      </c>
      <c r="H57" t="s">
        <v>103</v>
      </c>
      <c r="I57" t="s">
        <v>11</v>
      </c>
      <c r="K57">
        <v>43</v>
      </c>
      <c r="L57" t="s">
        <v>16</v>
      </c>
      <c r="M57" t="s">
        <v>43</v>
      </c>
    </row>
    <row r="58" spans="1:13" x14ac:dyDescent="0.25">
      <c r="A58" t="s">
        <v>165</v>
      </c>
      <c r="B58" s="15">
        <v>45410</v>
      </c>
      <c r="C58" s="16">
        <v>0.59791666666666665</v>
      </c>
      <c r="D58" t="s">
        <v>166</v>
      </c>
      <c r="E58" t="s">
        <v>48</v>
      </c>
      <c r="F58">
        <v>6</v>
      </c>
      <c r="G58" t="s">
        <v>65</v>
      </c>
      <c r="H58" t="s">
        <v>103</v>
      </c>
      <c r="I58" t="s">
        <v>12</v>
      </c>
      <c r="K58">
        <v>45</v>
      </c>
      <c r="L58" t="s">
        <v>16</v>
      </c>
      <c r="M58" t="s">
        <v>43</v>
      </c>
    </row>
    <row r="59" spans="1:13" x14ac:dyDescent="0.25">
      <c r="A59" t="s">
        <v>167</v>
      </c>
      <c r="B59" s="15">
        <v>45039</v>
      </c>
      <c r="C59" s="16">
        <v>0.77152777777777781</v>
      </c>
      <c r="D59" t="s">
        <v>168</v>
      </c>
      <c r="E59" t="s">
        <v>48</v>
      </c>
      <c r="F59">
        <v>3</v>
      </c>
      <c r="G59" t="s">
        <v>58</v>
      </c>
      <c r="H59" t="s">
        <v>103</v>
      </c>
      <c r="I59" t="s">
        <v>11</v>
      </c>
      <c r="K59">
        <v>50</v>
      </c>
      <c r="L59" t="s">
        <v>16</v>
      </c>
      <c r="M59" t="s">
        <v>43</v>
      </c>
    </row>
    <row r="60" spans="1:13" x14ac:dyDescent="0.25">
      <c r="A60" t="s">
        <v>169</v>
      </c>
      <c r="B60" s="15">
        <v>45384</v>
      </c>
      <c r="C60" s="16">
        <v>0.25208333333333333</v>
      </c>
      <c r="D60" t="s">
        <v>170</v>
      </c>
      <c r="E60" t="s">
        <v>48</v>
      </c>
      <c r="F60">
        <v>7</v>
      </c>
      <c r="G60" t="s">
        <v>58</v>
      </c>
      <c r="H60" t="s">
        <v>103</v>
      </c>
      <c r="I60" t="s">
        <v>12</v>
      </c>
      <c r="K60">
        <v>54</v>
      </c>
      <c r="L60" t="s">
        <v>16</v>
      </c>
      <c r="M60" t="s">
        <v>43</v>
      </c>
    </row>
    <row r="61" spans="1:13" x14ac:dyDescent="0.25">
      <c r="A61" t="s">
        <v>171</v>
      </c>
      <c r="B61" s="15">
        <v>45022</v>
      </c>
      <c r="C61" s="16">
        <v>0.27916666666666667</v>
      </c>
      <c r="D61" t="s">
        <v>172</v>
      </c>
      <c r="E61" t="s">
        <v>48</v>
      </c>
      <c r="F61">
        <v>10</v>
      </c>
      <c r="G61" t="s">
        <v>58</v>
      </c>
      <c r="H61" t="s">
        <v>103</v>
      </c>
      <c r="I61" t="s">
        <v>12</v>
      </c>
      <c r="K61">
        <v>21</v>
      </c>
      <c r="L61" t="s">
        <v>16</v>
      </c>
      <c r="M61" t="s">
        <v>51</v>
      </c>
    </row>
    <row r="62" spans="1:13" x14ac:dyDescent="0.25">
      <c r="A62" t="s">
        <v>173</v>
      </c>
      <c r="B62" s="15">
        <v>45030</v>
      </c>
      <c r="C62" s="16">
        <v>0.26319444444444445</v>
      </c>
      <c r="D62" t="s">
        <v>174</v>
      </c>
      <c r="E62" t="s">
        <v>40</v>
      </c>
      <c r="F62">
        <v>5</v>
      </c>
      <c r="G62" t="s">
        <v>58</v>
      </c>
      <c r="H62" t="s">
        <v>103</v>
      </c>
      <c r="I62" t="s">
        <v>12</v>
      </c>
      <c r="K62">
        <v>34</v>
      </c>
      <c r="L62" t="s">
        <v>16</v>
      </c>
      <c r="M62" t="s">
        <v>43</v>
      </c>
    </row>
    <row r="63" spans="1:13" x14ac:dyDescent="0.25">
      <c r="A63" t="s">
        <v>175</v>
      </c>
      <c r="B63" s="15">
        <v>45020</v>
      </c>
      <c r="C63" s="16">
        <v>0.64930555555555558</v>
      </c>
      <c r="D63" t="s">
        <v>176</v>
      </c>
      <c r="E63" t="s">
        <v>40</v>
      </c>
      <c r="F63">
        <v>9</v>
      </c>
      <c r="G63" t="s">
        <v>58</v>
      </c>
      <c r="H63" t="s">
        <v>103</v>
      </c>
      <c r="I63" t="s">
        <v>12</v>
      </c>
      <c r="K63">
        <v>36</v>
      </c>
      <c r="L63" t="s">
        <v>16</v>
      </c>
      <c r="M63" t="s">
        <v>43</v>
      </c>
    </row>
    <row r="64" spans="1:13" x14ac:dyDescent="0.25">
      <c r="A64" t="s">
        <v>177</v>
      </c>
      <c r="B64" s="15">
        <v>45044</v>
      </c>
      <c r="C64" s="16">
        <v>0.6333333333333333</v>
      </c>
      <c r="D64" t="s">
        <v>178</v>
      </c>
      <c r="E64" t="s">
        <v>48</v>
      </c>
      <c r="F64">
        <v>2</v>
      </c>
      <c r="G64" t="s">
        <v>41</v>
      </c>
      <c r="H64" t="s">
        <v>103</v>
      </c>
      <c r="I64" t="s">
        <v>11</v>
      </c>
      <c r="K64">
        <v>16</v>
      </c>
      <c r="L64" t="s">
        <v>16</v>
      </c>
      <c r="M64" t="s">
        <v>51</v>
      </c>
    </row>
    <row r="65" spans="1:13" x14ac:dyDescent="0.25">
      <c r="A65" t="s">
        <v>179</v>
      </c>
      <c r="B65" s="15">
        <v>45024</v>
      </c>
      <c r="C65" s="16">
        <v>5.1388888888888887E-2</v>
      </c>
      <c r="D65" t="s">
        <v>180</v>
      </c>
      <c r="E65" t="s">
        <v>48</v>
      </c>
      <c r="F65">
        <v>3</v>
      </c>
      <c r="G65" t="s">
        <v>41</v>
      </c>
      <c r="H65" t="s">
        <v>103</v>
      </c>
      <c r="I65" t="s">
        <v>12</v>
      </c>
      <c r="K65">
        <v>32</v>
      </c>
      <c r="L65" t="s">
        <v>16</v>
      </c>
      <c r="M65" t="s">
        <v>43</v>
      </c>
    </row>
    <row r="66" spans="1:13" x14ac:dyDescent="0.25">
      <c r="A66" t="s">
        <v>181</v>
      </c>
      <c r="B66" s="15">
        <v>45387</v>
      </c>
      <c r="C66" s="16">
        <v>0.75902777777777775</v>
      </c>
      <c r="D66" t="s">
        <v>182</v>
      </c>
      <c r="E66" t="s">
        <v>40</v>
      </c>
      <c r="F66">
        <v>5</v>
      </c>
      <c r="G66" t="s">
        <v>41</v>
      </c>
      <c r="H66" t="s">
        <v>90</v>
      </c>
      <c r="I66" t="s">
        <v>12</v>
      </c>
      <c r="K66">
        <v>19</v>
      </c>
      <c r="L66" t="s">
        <v>16</v>
      </c>
      <c r="M66" t="s">
        <v>51</v>
      </c>
    </row>
    <row r="67" spans="1:13" x14ac:dyDescent="0.25">
      <c r="A67" t="s">
        <v>183</v>
      </c>
      <c r="B67" s="15">
        <v>45408</v>
      </c>
      <c r="C67" s="16">
        <v>0.8930555555555556</v>
      </c>
      <c r="D67" t="s">
        <v>184</v>
      </c>
      <c r="E67" t="s">
        <v>40</v>
      </c>
      <c r="F67">
        <v>5</v>
      </c>
      <c r="G67" t="s">
        <v>58</v>
      </c>
      <c r="H67" t="s">
        <v>90</v>
      </c>
      <c r="I67" t="s">
        <v>12</v>
      </c>
      <c r="K67">
        <v>41</v>
      </c>
      <c r="L67" t="s">
        <v>16</v>
      </c>
      <c r="M67" t="s">
        <v>43</v>
      </c>
    </row>
    <row r="68" spans="1:13" x14ac:dyDescent="0.25">
      <c r="A68" t="s">
        <v>185</v>
      </c>
      <c r="B68" s="15">
        <v>45389</v>
      </c>
      <c r="C68" s="16">
        <v>0.7319444444444444</v>
      </c>
      <c r="D68" t="s">
        <v>186</v>
      </c>
      <c r="E68" t="s">
        <v>48</v>
      </c>
      <c r="F68">
        <v>8</v>
      </c>
      <c r="G68" t="s">
        <v>58</v>
      </c>
      <c r="H68" t="s">
        <v>90</v>
      </c>
      <c r="I68" t="s">
        <v>11</v>
      </c>
      <c r="K68">
        <v>11</v>
      </c>
      <c r="L68" t="s">
        <v>16</v>
      </c>
      <c r="M68" t="s">
        <v>51</v>
      </c>
    </row>
    <row r="69" spans="1:13" x14ac:dyDescent="0.25">
      <c r="A69" t="s">
        <v>187</v>
      </c>
      <c r="B69" s="15">
        <v>45028</v>
      </c>
      <c r="C69" s="16">
        <v>0.21249999999999999</v>
      </c>
      <c r="D69" t="s">
        <v>188</v>
      </c>
      <c r="E69" t="s">
        <v>40</v>
      </c>
      <c r="F69">
        <v>6</v>
      </c>
      <c r="G69" t="s">
        <v>65</v>
      </c>
      <c r="H69" t="s">
        <v>90</v>
      </c>
      <c r="I69" t="s">
        <v>12</v>
      </c>
      <c r="K69">
        <v>45</v>
      </c>
      <c r="L69" t="s">
        <v>16</v>
      </c>
      <c r="M69" t="s">
        <v>43</v>
      </c>
    </row>
    <row r="70" spans="1:13" x14ac:dyDescent="0.25">
      <c r="A70" t="s">
        <v>189</v>
      </c>
      <c r="B70" s="15">
        <v>45022</v>
      </c>
      <c r="C70" s="16">
        <v>0.8618055555555556</v>
      </c>
      <c r="D70" t="s">
        <v>190</v>
      </c>
      <c r="E70" t="s">
        <v>40</v>
      </c>
      <c r="F70">
        <v>3</v>
      </c>
      <c r="G70" t="s">
        <v>65</v>
      </c>
      <c r="H70" t="s">
        <v>90</v>
      </c>
      <c r="I70" t="s">
        <v>12</v>
      </c>
      <c r="K70">
        <v>26</v>
      </c>
      <c r="L70" t="s">
        <v>16</v>
      </c>
      <c r="M70" t="s">
        <v>51</v>
      </c>
    </row>
    <row r="71" spans="1:13" x14ac:dyDescent="0.25">
      <c r="A71" t="s">
        <v>191</v>
      </c>
      <c r="B71" s="15">
        <v>45018</v>
      </c>
      <c r="C71" s="16">
        <v>0.74305555555555558</v>
      </c>
      <c r="D71" t="s">
        <v>192</v>
      </c>
      <c r="E71" t="s">
        <v>40</v>
      </c>
      <c r="F71">
        <v>6</v>
      </c>
      <c r="G71" t="s">
        <v>83</v>
      </c>
      <c r="H71" t="s">
        <v>90</v>
      </c>
      <c r="I71" t="s">
        <v>12</v>
      </c>
      <c r="K71">
        <v>45</v>
      </c>
      <c r="L71" t="s">
        <v>16</v>
      </c>
      <c r="M71" t="s">
        <v>43</v>
      </c>
    </row>
    <row r="72" spans="1:13" x14ac:dyDescent="0.25">
      <c r="A72" t="s">
        <v>193</v>
      </c>
      <c r="B72" s="15">
        <v>45021</v>
      </c>
      <c r="C72" s="16">
        <v>0.74375000000000002</v>
      </c>
      <c r="D72" t="s">
        <v>194</v>
      </c>
      <c r="E72" t="s">
        <v>40</v>
      </c>
      <c r="F72">
        <v>7</v>
      </c>
      <c r="G72" t="s">
        <v>83</v>
      </c>
      <c r="H72" t="s">
        <v>90</v>
      </c>
      <c r="I72" t="s">
        <v>12</v>
      </c>
      <c r="K72">
        <v>42</v>
      </c>
      <c r="L72" t="s">
        <v>16</v>
      </c>
      <c r="M72" t="s">
        <v>43</v>
      </c>
    </row>
    <row r="73" spans="1:13" x14ac:dyDescent="0.25">
      <c r="A73" t="s">
        <v>195</v>
      </c>
      <c r="B73" s="15">
        <v>45028</v>
      </c>
      <c r="C73" s="16">
        <v>0.38333333333333336</v>
      </c>
      <c r="D73" t="s">
        <v>196</v>
      </c>
      <c r="E73" t="s">
        <v>48</v>
      </c>
      <c r="F73">
        <v>3</v>
      </c>
      <c r="G73" t="s">
        <v>83</v>
      </c>
      <c r="H73" t="s">
        <v>90</v>
      </c>
      <c r="I73" t="s">
        <v>11</v>
      </c>
      <c r="K73">
        <v>29</v>
      </c>
      <c r="L73" t="s">
        <v>16</v>
      </c>
      <c r="M73" t="s">
        <v>51</v>
      </c>
    </row>
    <row r="74" spans="1:13" x14ac:dyDescent="0.25">
      <c r="A74" t="s">
        <v>197</v>
      </c>
      <c r="B74" s="15">
        <v>45027</v>
      </c>
      <c r="C74" s="16">
        <v>0.89930555555555558</v>
      </c>
      <c r="D74" t="s">
        <v>198</v>
      </c>
      <c r="E74" t="s">
        <v>48</v>
      </c>
      <c r="F74">
        <v>3</v>
      </c>
      <c r="G74" t="s">
        <v>78</v>
      </c>
      <c r="H74" t="s">
        <v>90</v>
      </c>
      <c r="I74" t="s">
        <v>12</v>
      </c>
      <c r="K74">
        <v>24</v>
      </c>
      <c r="L74" t="s">
        <v>16</v>
      </c>
      <c r="M74" t="s">
        <v>51</v>
      </c>
    </row>
    <row r="75" spans="1:13" x14ac:dyDescent="0.25">
      <c r="A75" t="s">
        <v>199</v>
      </c>
      <c r="B75" s="15">
        <v>45021</v>
      </c>
      <c r="C75" s="16">
        <v>0.52847222222222223</v>
      </c>
      <c r="D75" t="s">
        <v>200</v>
      </c>
      <c r="E75" t="s">
        <v>40</v>
      </c>
      <c r="F75">
        <v>8</v>
      </c>
      <c r="G75" t="s">
        <v>70</v>
      </c>
      <c r="H75" t="s">
        <v>42</v>
      </c>
      <c r="I75" t="s">
        <v>11</v>
      </c>
      <c r="K75">
        <v>30</v>
      </c>
      <c r="L75" t="s">
        <v>16</v>
      </c>
      <c r="M75" t="s">
        <v>51</v>
      </c>
    </row>
    <row r="76" spans="1:13" x14ac:dyDescent="0.25">
      <c r="A76" t="s">
        <v>201</v>
      </c>
      <c r="B76" s="15">
        <v>45021</v>
      </c>
      <c r="C76" s="16">
        <v>0.91527777777777775</v>
      </c>
      <c r="D76" t="s">
        <v>202</v>
      </c>
      <c r="E76" t="s">
        <v>40</v>
      </c>
      <c r="F76">
        <v>10</v>
      </c>
      <c r="G76" t="s">
        <v>70</v>
      </c>
      <c r="H76" t="s">
        <v>42</v>
      </c>
      <c r="I76" t="s">
        <v>11</v>
      </c>
      <c r="K76">
        <v>17</v>
      </c>
      <c r="L76" t="s">
        <v>16</v>
      </c>
      <c r="M76" t="s">
        <v>51</v>
      </c>
    </row>
    <row r="77" spans="1:13" x14ac:dyDescent="0.25">
      <c r="A77" t="s">
        <v>203</v>
      </c>
      <c r="B77" s="15">
        <v>45384</v>
      </c>
      <c r="C77" s="16">
        <v>0.84861111111111109</v>
      </c>
      <c r="D77" t="s">
        <v>204</v>
      </c>
      <c r="E77" t="s">
        <v>48</v>
      </c>
      <c r="F77">
        <v>6</v>
      </c>
      <c r="G77" t="s">
        <v>73</v>
      </c>
      <c r="H77" t="s">
        <v>42</v>
      </c>
      <c r="I77" t="s">
        <v>11</v>
      </c>
      <c r="K77">
        <v>23</v>
      </c>
      <c r="L77" t="s">
        <v>16</v>
      </c>
      <c r="M77" t="s">
        <v>51</v>
      </c>
    </row>
    <row r="78" spans="1:13" x14ac:dyDescent="0.25">
      <c r="A78" t="s">
        <v>205</v>
      </c>
      <c r="B78" s="15">
        <v>45024</v>
      </c>
      <c r="C78" s="16">
        <v>0.30833333333333335</v>
      </c>
      <c r="D78" t="s">
        <v>206</v>
      </c>
      <c r="E78" t="s">
        <v>48</v>
      </c>
      <c r="F78">
        <v>6</v>
      </c>
      <c r="G78" t="s">
        <v>73</v>
      </c>
      <c r="H78" t="s">
        <v>42</v>
      </c>
      <c r="I78" t="s">
        <v>12</v>
      </c>
      <c r="K78">
        <v>33</v>
      </c>
      <c r="L78" t="s">
        <v>16</v>
      </c>
      <c r="M78" t="s">
        <v>43</v>
      </c>
    </row>
    <row r="79" spans="1:13" x14ac:dyDescent="0.25">
      <c r="A79" t="s">
        <v>207</v>
      </c>
      <c r="B79" s="15">
        <v>45023</v>
      </c>
      <c r="C79" s="16">
        <v>0.98958333333333337</v>
      </c>
      <c r="D79" t="s">
        <v>208</v>
      </c>
      <c r="E79" t="s">
        <v>48</v>
      </c>
      <c r="F79">
        <v>2</v>
      </c>
      <c r="G79" t="s">
        <v>73</v>
      </c>
      <c r="H79" t="s">
        <v>42</v>
      </c>
      <c r="I79" t="s">
        <v>12</v>
      </c>
      <c r="K79">
        <v>44</v>
      </c>
      <c r="L79" t="s">
        <v>16</v>
      </c>
      <c r="M79" t="s">
        <v>43</v>
      </c>
    </row>
    <row r="80" spans="1:13" x14ac:dyDescent="0.25">
      <c r="A80" t="s">
        <v>209</v>
      </c>
      <c r="B80" s="15">
        <v>45408</v>
      </c>
      <c r="C80" s="16">
        <v>0.77916666666666667</v>
      </c>
      <c r="D80" t="s">
        <v>210</v>
      </c>
      <c r="E80" t="s">
        <v>40</v>
      </c>
      <c r="F80">
        <v>5</v>
      </c>
      <c r="G80" t="s">
        <v>83</v>
      </c>
      <c r="H80" t="s">
        <v>42</v>
      </c>
      <c r="I80" t="s">
        <v>12</v>
      </c>
      <c r="K80">
        <v>26</v>
      </c>
      <c r="L80" t="s">
        <v>16</v>
      </c>
      <c r="M80" t="s">
        <v>51</v>
      </c>
    </row>
    <row r="81" spans="1:13" x14ac:dyDescent="0.25">
      <c r="A81" t="s">
        <v>211</v>
      </c>
      <c r="B81" s="15">
        <v>45402</v>
      </c>
      <c r="C81" s="16">
        <v>0.15902777777777777</v>
      </c>
      <c r="D81" t="s">
        <v>212</v>
      </c>
      <c r="E81" t="s">
        <v>40</v>
      </c>
      <c r="F81">
        <v>10</v>
      </c>
      <c r="G81" t="s">
        <v>83</v>
      </c>
      <c r="H81" t="s">
        <v>42</v>
      </c>
      <c r="I81" t="s">
        <v>12</v>
      </c>
      <c r="K81">
        <v>54</v>
      </c>
      <c r="L81" t="s">
        <v>16</v>
      </c>
      <c r="M81" t="s">
        <v>43</v>
      </c>
    </row>
    <row r="82" spans="1:13" x14ac:dyDescent="0.25">
      <c r="A82" t="s">
        <v>213</v>
      </c>
      <c r="B82" s="15">
        <v>45401</v>
      </c>
      <c r="C82" s="16">
        <v>0.69305555555555554</v>
      </c>
      <c r="D82" t="s">
        <v>214</v>
      </c>
      <c r="E82" t="s">
        <v>40</v>
      </c>
      <c r="F82">
        <v>10</v>
      </c>
      <c r="G82" t="s">
        <v>83</v>
      </c>
      <c r="H82" t="s">
        <v>42</v>
      </c>
      <c r="I82" t="s">
        <v>11</v>
      </c>
      <c r="K82">
        <v>22</v>
      </c>
      <c r="L82" t="s">
        <v>16</v>
      </c>
      <c r="M82" t="s">
        <v>51</v>
      </c>
    </row>
    <row r="83" spans="1:13" x14ac:dyDescent="0.25">
      <c r="A83" t="s">
        <v>215</v>
      </c>
      <c r="B83" s="15">
        <v>45407</v>
      </c>
      <c r="C83" s="16">
        <v>0.37083333333333335</v>
      </c>
      <c r="D83" t="s">
        <v>216</v>
      </c>
      <c r="E83" t="s">
        <v>40</v>
      </c>
      <c r="F83">
        <v>7</v>
      </c>
      <c r="G83" t="s">
        <v>83</v>
      </c>
      <c r="H83" t="s">
        <v>42</v>
      </c>
      <c r="I83" t="s">
        <v>11</v>
      </c>
      <c r="K83">
        <v>46</v>
      </c>
      <c r="L83" t="s">
        <v>16</v>
      </c>
      <c r="M83" t="s">
        <v>43</v>
      </c>
    </row>
    <row r="84" spans="1:13" x14ac:dyDescent="0.25">
      <c r="A84" t="s">
        <v>217</v>
      </c>
      <c r="B84" s="15">
        <v>45043</v>
      </c>
      <c r="C84" s="16">
        <v>0.15625</v>
      </c>
      <c r="D84" t="s">
        <v>218</v>
      </c>
      <c r="E84" t="s">
        <v>48</v>
      </c>
      <c r="F84">
        <v>8</v>
      </c>
      <c r="G84" t="s">
        <v>83</v>
      </c>
      <c r="H84" t="s">
        <v>42</v>
      </c>
      <c r="I84" t="s">
        <v>11</v>
      </c>
      <c r="K84">
        <v>30</v>
      </c>
      <c r="L84" t="s">
        <v>16</v>
      </c>
      <c r="M84" t="s">
        <v>51</v>
      </c>
    </row>
    <row r="85" spans="1:13" x14ac:dyDescent="0.25">
      <c r="A85" t="s">
        <v>219</v>
      </c>
      <c r="B85" s="15">
        <v>45400</v>
      </c>
      <c r="C85" s="16">
        <v>0.6</v>
      </c>
      <c r="D85" t="s">
        <v>220</v>
      </c>
      <c r="E85" t="s">
        <v>48</v>
      </c>
      <c r="F85">
        <v>5</v>
      </c>
      <c r="G85" t="s">
        <v>83</v>
      </c>
      <c r="H85" t="s">
        <v>42</v>
      </c>
      <c r="I85" t="s">
        <v>11</v>
      </c>
      <c r="K85">
        <v>21</v>
      </c>
      <c r="L85" t="s">
        <v>16</v>
      </c>
      <c r="M85" t="s">
        <v>51</v>
      </c>
    </row>
    <row r="86" spans="1:13" x14ac:dyDescent="0.25">
      <c r="A86" t="s">
        <v>221</v>
      </c>
      <c r="B86" s="15">
        <v>45402</v>
      </c>
      <c r="C86" s="16">
        <v>0.9458333333333333</v>
      </c>
      <c r="D86" t="s">
        <v>222</v>
      </c>
      <c r="E86" t="s">
        <v>48</v>
      </c>
      <c r="F86">
        <v>4</v>
      </c>
      <c r="G86" t="s">
        <v>78</v>
      </c>
      <c r="H86" t="s">
        <v>42</v>
      </c>
      <c r="I86" t="s">
        <v>12</v>
      </c>
      <c r="K86">
        <v>45</v>
      </c>
      <c r="L86" t="s">
        <v>16</v>
      </c>
      <c r="M86" t="s">
        <v>43</v>
      </c>
    </row>
    <row r="87" spans="1:13" x14ac:dyDescent="0.25">
      <c r="A87" t="s">
        <v>223</v>
      </c>
      <c r="B87" s="15">
        <v>45410</v>
      </c>
      <c r="C87" s="16">
        <v>0.70763888888888893</v>
      </c>
      <c r="D87" t="s">
        <v>224</v>
      </c>
      <c r="E87" t="s">
        <v>48</v>
      </c>
      <c r="F87">
        <v>6</v>
      </c>
      <c r="G87" t="s">
        <v>78</v>
      </c>
      <c r="H87" t="s">
        <v>42</v>
      </c>
      <c r="I87" t="s">
        <v>11</v>
      </c>
      <c r="K87">
        <v>23</v>
      </c>
      <c r="L87" t="s">
        <v>16</v>
      </c>
      <c r="M87" t="s">
        <v>51</v>
      </c>
    </row>
    <row r="88" spans="1:13" x14ac:dyDescent="0.25">
      <c r="A88" t="s">
        <v>225</v>
      </c>
      <c r="B88" s="15">
        <v>45383</v>
      </c>
      <c r="C88" s="16">
        <v>0.9291666666666667</v>
      </c>
      <c r="D88" t="s">
        <v>226</v>
      </c>
      <c r="E88" t="s">
        <v>40</v>
      </c>
      <c r="F88">
        <v>1</v>
      </c>
      <c r="G88" t="s">
        <v>78</v>
      </c>
      <c r="H88" t="s">
        <v>42</v>
      </c>
      <c r="I88" t="s">
        <v>12</v>
      </c>
      <c r="K88">
        <v>12</v>
      </c>
      <c r="L88" t="s">
        <v>16</v>
      </c>
      <c r="M88" t="s">
        <v>51</v>
      </c>
    </row>
    <row r="89" spans="1:13" x14ac:dyDescent="0.25">
      <c r="A89" t="s">
        <v>227</v>
      </c>
      <c r="B89" s="15">
        <v>45041</v>
      </c>
      <c r="C89" s="16">
        <v>0.89236111111111116</v>
      </c>
      <c r="D89" t="s">
        <v>228</v>
      </c>
      <c r="E89" t="s">
        <v>40</v>
      </c>
      <c r="F89">
        <v>2</v>
      </c>
      <c r="G89" t="s">
        <v>78</v>
      </c>
      <c r="H89" t="s">
        <v>42</v>
      </c>
      <c r="I89" t="s">
        <v>12</v>
      </c>
      <c r="K89">
        <v>37</v>
      </c>
      <c r="L89" t="s">
        <v>16</v>
      </c>
      <c r="M89" t="s">
        <v>43</v>
      </c>
    </row>
    <row r="90" spans="1:13" x14ac:dyDescent="0.25">
      <c r="A90" t="s">
        <v>229</v>
      </c>
      <c r="B90" s="15">
        <v>45394</v>
      </c>
      <c r="C90" s="16">
        <v>0.30625000000000002</v>
      </c>
      <c r="D90" t="s">
        <v>230</v>
      </c>
      <c r="E90" t="s">
        <v>40</v>
      </c>
      <c r="F90">
        <v>4</v>
      </c>
      <c r="G90" t="s">
        <v>78</v>
      </c>
      <c r="H90" t="s">
        <v>42</v>
      </c>
      <c r="I90" t="s">
        <v>12</v>
      </c>
      <c r="K90">
        <v>41</v>
      </c>
      <c r="L90" t="s">
        <v>16</v>
      </c>
      <c r="M90" t="s">
        <v>43</v>
      </c>
    </row>
    <row r="91" spans="1:13" x14ac:dyDescent="0.25">
      <c r="A91" t="s">
        <v>231</v>
      </c>
      <c r="B91" s="15">
        <v>45040</v>
      </c>
      <c r="C91" s="16">
        <v>0.80763888888888891</v>
      </c>
      <c r="D91" t="s">
        <v>232</v>
      </c>
      <c r="E91" t="s">
        <v>40</v>
      </c>
      <c r="F91">
        <v>6</v>
      </c>
      <c r="G91" t="s">
        <v>78</v>
      </c>
      <c r="H91" t="s">
        <v>42</v>
      </c>
      <c r="I91" t="s">
        <v>12</v>
      </c>
      <c r="K91">
        <v>35</v>
      </c>
      <c r="L91" t="s">
        <v>16</v>
      </c>
      <c r="M91" t="s">
        <v>43</v>
      </c>
    </row>
    <row r="92" spans="1:13" x14ac:dyDescent="0.25">
      <c r="A92" t="s">
        <v>233</v>
      </c>
      <c r="B92" s="15">
        <v>45031</v>
      </c>
      <c r="C92" s="16">
        <v>0.14027777777777778</v>
      </c>
      <c r="D92" t="s">
        <v>234</v>
      </c>
      <c r="E92" t="s">
        <v>40</v>
      </c>
      <c r="F92">
        <v>7</v>
      </c>
      <c r="G92" t="s">
        <v>78</v>
      </c>
      <c r="H92" t="s">
        <v>42</v>
      </c>
      <c r="I92" t="s">
        <v>11</v>
      </c>
      <c r="K92">
        <v>56</v>
      </c>
      <c r="L92" t="s">
        <v>16</v>
      </c>
      <c r="M92" t="s">
        <v>43</v>
      </c>
    </row>
    <row r="93" spans="1:13" x14ac:dyDescent="0.25">
      <c r="A93" t="s">
        <v>235</v>
      </c>
      <c r="B93" s="15">
        <v>45386</v>
      </c>
      <c r="C93" s="16">
        <v>0.43541666666666667</v>
      </c>
      <c r="D93" t="s">
        <v>236</v>
      </c>
      <c r="E93" t="s">
        <v>40</v>
      </c>
      <c r="F93">
        <v>9</v>
      </c>
      <c r="G93" t="s">
        <v>78</v>
      </c>
      <c r="H93" t="s">
        <v>42</v>
      </c>
      <c r="I93" t="s">
        <v>11</v>
      </c>
      <c r="K93">
        <v>25</v>
      </c>
      <c r="L93" t="s">
        <v>16</v>
      </c>
      <c r="M93" t="s">
        <v>51</v>
      </c>
    </row>
    <row r="94" spans="1:13" x14ac:dyDescent="0.25">
      <c r="A94" t="s">
        <v>237</v>
      </c>
      <c r="B94" s="15">
        <v>45412</v>
      </c>
      <c r="C94" s="16">
        <v>0.64375000000000004</v>
      </c>
      <c r="D94" t="s">
        <v>238</v>
      </c>
      <c r="E94" t="s">
        <v>40</v>
      </c>
      <c r="F94">
        <v>4</v>
      </c>
      <c r="G94" t="s">
        <v>78</v>
      </c>
      <c r="H94" t="s">
        <v>42</v>
      </c>
      <c r="I94" t="s">
        <v>11</v>
      </c>
      <c r="K94">
        <v>54</v>
      </c>
      <c r="L94" t="s">
        <v>16</v>
      </c>
      <c r="M94" t="s">
        <v>43</v>
      </c>
    </row>
    <row r="95" spans="1:13" x14ac:dyDescent="0.25">
      <c r="A95" t="s">
        <v>239</v>
      </c>
      <c r="B95" s="15">
        <v>45391</v>
      </c>
      <c r="C95" s="16">
        <v>0.98958333333333337</v>
      </c>
      <c r="D95" t="s">
        <v>240</v>
      </c>
      <c r="E95" t="s">
        <v>40</v>
      </c>
      <c r="F95">
        <v>2</v>
      </c>
      <c r="G95" t="s">
        <v>78</v>
      </c>
      <c r="H95" t="s">
        <v>42</v>
      </c>
      <c r="I95" t="s">
        <v>11</v>
      </c>
      <c r="K95">
        <v>23</v>
      </c>
      <c r="L95" t="s">
        <v>16</v>
      </c>
      <c r="M95" t="s">
        <v>51</v>
      </c>
    </row>
    <row r="96" spans="1:13" x14ac:dyDescent="0.25">
      <c r="A96" t="s">
        <v>241</v>
      </c>
      <c r="B96" s="15">
        <v>45023</v>
      </c>
      <c r="C96" s="16">
        <v>0.92569444444444449</v>
      </c>
      <c r="D96" t="s">
        <v>242</v>
      </c>
      <c r="E96" t="s">
        <v>40</v>
      </c>
      <c r="F96">
        <v>9</v>
      </c>
      <c r="G96" t="s">
        <v>65</v>
      </c>
      <c r="H96" t="s">
        <v>42</v>
      </c>
      <c r="I96" t="s">
        <v>12</v>
      </c>
      <c r="K96">
        <v>29</v>
      </c>
      <c r="L96" t="s">
        <v>16</v>
      </c>
      <c r="M96" t="s">
        <v>51</v>
      </c>
    </row>
    <row r="97" spans="1:13" x14ac:dyDescent="0.25">
      <c r="A97" t="s">
        <v>243</v>
      </c>
      <c r="B97" s="15">
        <v>45412</v>
      </c>
      <c r="C97" s="16">
        <v>0.81944444444444442</v>
      </c>
      <c r="D97" t="s">
        <v>244</v>
      </c>
      <c r="E97" t="s">
        <v>40</v>
      </c>
      <c r="F97">
        <v>9</v>
      </c>
      <c r="G97" t="s">
        <v>65</v>
      </c>
      <c r="H97" t="s">
        <v>42</v>
      </c>
      <c r="I97" t="s">
        <v>12</v>
      </c>
      <c r="K97">
        <v>21</v>
      </c>
      <c r="L97" t="s">
        <v>16</v>
      </c>
      <c r="M97" t="s">
        <v>51</v>
      </c>
    </row>
    <row r="98" spans="1:13" x14ac:dyDescent="0.25">
      <c r="A98" t="s">
        <v>245</v>
      </c>
      <c r="B98" s="15">
        <v>45032</v>
      </c>
      <c r="C98" s="16">
        <v>0.7944444444444444</v>
      </c>
      <c r="D98" t="s">
        <v>246</v>
      </c>
      <c r="E98" t="s">
        <v>40</v>
      </c>
      <c r="F98">
        <v>3</v>
      </c>
      <c r="G98" t="s">
        <v>65</v>
      </c>
      <c r="H98" t="s">
        <v>42</v>
      </c>
      <c r="I98" t="s">
        <v>12</v>
      </c>
      <c r="K98">
        <v>57</v>
      </c>
      <c r="L98" t="s">
        <v>16</v>
      </c>
      <c r="M98" t="s">
        <v>43</v>
      </c>
    </row>
    <row r="99" spans="1:13" x14ac:dyDescent="0.25">
      <c r="A99" t="s">
        <v>247</v>
      </c>
      <c r="B99" s="15">
        <v>45386</v>
      </c>
      <c r="C99" s="16">
        <v>0.12638888888888888</v>
      </c>
      <c r="D99" t="s">
        <v>248</v>
      </c>
      <c r="E99" t="s">
        <v>40</v>
      </c>
      <c r="F99">
        <v>10</v>
      </c>
      <c r="G99" t="s">
        <v>65</v>
      </c>
      <c r="H99" t="s">
        <v>42</v>
      </c>
      <c r="I99" t="s">
        <v>12</v>
      </c>
      <c r="K99">
        <v>41</v>
      </c>
      <c r="L99" t="s">
        <v>16</v>
      </c>
      <c r="M99" t="s">
        <v>43</v>
      </c>
    </row>
    <row r="100" spans="1:13" x14ac:dyDescent="0.25">
      <c r="A100" t="s">
        <v>249</v>
      </c>
      <c r="B100" s="15">
        <v>45404</v>
      </c>
      <c r="C100" s="16">
        <v>0.34930555555555554</v>
      </c>
      <c r="D100" t="s">
        <v>250</v>
      </c>
      <c r="E100" t="s">
        <v>40</v>
      </c>
      <c r="F100">
        <v>7</v>
      </c>
      <c r="G100" t="s">
        <v>65</v>
      </c>
      <c r="H100" t="s">
        <v>42</v>
      </c>
      <c r="I100" t="s">
        <v>12</v>
      </c>
      <c r="K100">
        <v>60</v>
      </c>
      <c r="L100" t="s">
        <v>16</v>
      </c>
      <c r="M100" t="s">
        <v>43</v>
      </c>
    </row>
    <row r="101" spans="1:13" x14ac:dyDescent="0.25">
      <c r="A101" t="s">
        <v>251</v>
      </c>
      <c r="B101" s="15">
        <v>45390</v>
      </c>
      <c r="C101" s="16">
        <v>0.64930555555555558</v>
      </c>
      <c r="D101" t="s">
        <v>252</v>
      </c>
      <c r="E101" t="s">
        <v>40</v>
      </c>
      <c r="F101">
        <v>4</v>
      </c>
      <c r="G101" t="s">
        <v>65</v>
      </c>
      <c r="H101" t="s">
        <v>42</v>
      </c>
      <c r="I101" t="s">
        <v>12</v>
      </c>
      <c r="K101">
        <v>18</v>
      </c>
      <c r="L101" t="s">
        <v>16</v>
      </c>
      <c r="M101" t="s">
        <v>51</v>
      </c>
    </row>
    <row r="102" spans="1:13" x14ac:dyDescent="0.25">
      <c r="A102" t="s">
        <v>253</v>
      </c>
      <c r="B102" s="15">
        <v>45404</v>
      </c>
      <c r="C102" s="16">
        <v>0.1701388888888889</v>
      </c>
      <c r="D102" t="s">
        <v>254</v>
      </c>
      <c r="E102" t="s">
        <v>40</v>
      </c>
      <c r="F102">
        <v>3</v>
      </c>
      <c r="G102" t="s">
        <v>65</v>
      </c>
      <c r="H102" t="s">
        <v>42</v>
      </c>
      <c r="I102" t="s">
        <v>11</v>
      </c>
      <c r="K102">
        <v>54</v>
      </c>
      <c r="L102" t="s">
        <v>16</v>
      </c>
      <c r="M102" t="s">
        <v>43</v>
      </c>
    </row>
    <row r="103" spans="1:13" x14ac:dyDescent="0.25">
      <c r="A103" t="s">
        <v>255</v>
      </c>
      <c r="B103" s="15">
        <v>45404</v>
      </c>
      <c r="C103" s="16">
        <v>0.36249999999999999</v>
      </c>
      <c r="D103" t="s">
        <v>256</v>
      </c>
      <c r="E103" t="s">
        <v>40</v>
      </c>
      <c r="F103">
        <v>2</v>
      </c>
      <c r="G103" t="s">
        <v>65</v>
      </c>
      <c r="H103" t="s">
        <v>42</v>
      </c>
      <c r="I103" t="s">
        <v>11</v>
      </c>
      <c r="K103">
        <v>29</v>
      </c>
      <c r="L103" t="s">
        <v>16</v>
      </c>
      <c r="M103" t="s">
        <v>51</v>
      </c>
    </row>
    <row r="104" spans="1:13" x14ac:dyDescent="0.25">
      <c r="A104" t="s">
        <v>257</v>
      </c>
      <c r="B104" s="15">
        <v>45041</v>
      </c>
      <c r="C104" s="16">
        <v>0.56111111111111112</v>
      </c>
      <c r="D104" t="s">
        <v>258</v>
      </c>
      <c r="E104" t="s">
        <v>40</v>
      </c>
      <c r="F104">
        <v>8</v>
      </c>
      <c r="G104" t="s">
        <v>65</v>
      </c>
      <c r="H104" t="s">
        <v>42</v>
      </c>
      <c r="I104" t="s">
        <v>11</v>
      </c>
      <c r="K104">
        <v>56</v>
      </c>
      <c r="L104" t="s">
        <v>16</v>
      </c>
      <c r="M104" t="s">
        <v>43</v>
      </c>
    </row>
    <row r="105" spans="1:13" x14ac:dyDescent="0.25">
      <c r="A105" t="s">
        <v>259</v>
      </c>
      <c r="B105" s="15">
        <v>45030</v>
      </c>
      <c r="C105" s="16">
        <v>0.49513888888888891</v>
      </c>
      <c r="D105" t="s">
        <v>260</v>
      </c>
      <c r="E105" t="s">
        <v>48</v>
      </c>
      <c r="F105">
        <v>6</v>
      </c>
      <c r="G105" t="s">
        <v>65</v>
      </c>
      <c r="H105" t="s">
        <v>42</v>
      </c>
      <c r="I105" t="s">
        <v>12</v>
      </c>
      <c r="K105">
        <v>49</v>
      </c>
      <c r="L105" t="s">
        <v>16</v>
      </c>
      <c r="M105" t="s">
        <v>43</v>
      </c>
    </row>
    <row r="106" spans="1:13" x14ac:dyDescent="0.25">
      <c r="A106" t="s">
        <v>261</v>
      </c>
      <c r="B106" s="15">
        <v>45037</v>
      </c>
      <c r="C106" s="16">
        <v>0.47083333333333333</v>
      </c>
      <c r="D106" t="s">
        <v>262</v>
      </c>
      <c r="E106" t="s">
        <v>48</v>
      </c>
      <c r="F106">
        <v>7</v>
      </c>
      <c r="G106" t="s">
        <v>65</v>
      </c>
      <c r="H106" t="s">
        <v>42</v>
      </c>
      <c r="I106" t="s">
        <v>12</v>
      </c>
      <c r="K106">
        <v>13</v>
      </c>
      <c r="L106" t="s">
        <v>16</v>
      </c>
      <c r="M106" t="s">
        <v>51</v>
      </c>
    </row>
    <row r="107" spans="1:13" x14ac:dyDescent="0.25">
      <c r="A107" t="s">
        <v>263</v>
      </c>
      <c r="B107" s="15">
        <v>45019</v>
      </c>
      <c r="C107" s="16">
        <v>0.28541666666666665</v>
      </c>
      <c r="D107" t="s">
        <v>264</v>
      </c>
      <c r="E107" t="s">
        <v>48</v>
      </c>
      <c r="F107">
        <v>2</v>
      </c>
      <c r="G107" t="s">
        <v>65</v>
      </c>
      <c r="H107" t="s">
        <v>42</v>
      </c>
      <c r="I107" t="s">
        <v>11</v>
      </c>
      <c r="K107">
        <v>52</v>
      </c>
      <c r="L107" t="s">
        <v>16</v>
      </c>
      <c r="M107" t="s">
        <v>43</v>
      </c>
    </row>
    <row r="108" spans="1:13" x14ac:dyDescent="0.25">
      <c r="A108" t="s">
        <v>265</v>
      </c>
      <c r="B108" s="15">
        <v>45024</v>
      </c>
      <c r="C108" s="16">
        <v>0.14166666666666666</v>
      </c>
      <c r="D108" t="s">
        <v>266</v>
      </c>
      <c r="E108" t="s">
        <v>40</v>
      </c>
      <c r="F108">
        <v>5</v>
      </c>
      <c r="G108" t="s">
        <v>58</v>
      </c>
      <c r="H108" t="s">
        <v>42</v>
      </c>
      <c r="I108" t="s">
        <v>11</v>
      </c>
      <c r="K108">
        <v>22</v>
      </c>
      <c r="L108" t="s">
        <v>16</v>
      </c>
      <c r="M108" t="s">
        <v>51</v>
      </c>
    </row>
    <row r="109" spans="1:13" x14ac:dyDescent="0.25">
      <c r="A109" t="s">
        <v>267</v>
      </c>
      <c r="B109" s="15">
        <v>45387</v>
      </c>
      <c r="C109" s="16">
        <v>0.35</v>
      </c>
      <c r="D109" t="s">
        <v>268</v>
      </c>
      <c r="E109" t="s">
        <v>48</v>
      </c>
      <c r="F109">
        <v>5</v>
      </c>
      <c r="G109" t="s">
        <v>58</v>
      </c>
      <c r="H109" t="s">
        <v>42</v>
      </c>
      <c r="I109" t="s">
        <v>11</v>
      </c>
      <c r="K109">
        <v>49</v>
      </c>
      <c r="L109" t="s">
        <v>16</v>
      </c>
      <c r="M109" t="s">
        <v>43</v>
      </c>
    </row>
    <row r="110" spans="1:13" x14ac:dyDescent="0.25">
      <c r="A110" t="s">
        <v>269</v>
      </c>
      <c r="B110" s="15">
        <v>45388</v>
      </c>
      <c r="C110" s="16">
        <v>0.55555555555555558</v>
      </c>
      <c r="D110" t="s">
        <v>270</v>
      </c>
      <c r="E110" t="s">
        <v>48</v>
      </c>
      <c r="F110">
        <v>2</v>
      </c>
      <c r="G110" t="s">
        <v>58</v>
      </c>
      <c r="H110" t="s">
        <v>42</v>
      </c>
      <c r="I110" t="s">
        <v>11</v>
      </c>
      <c r="K110">
        <v>22</v>
      </c>
      <c r="L110" t="s">
        <v>16</v>
      </c>
      <c r="M110" t="s">
        <v>51</v>
      </c>
    </row>
    <row r="111" spans="1:13" x14ac:dyDescent="0.25">
      <c r="A111" t="s">
        <v>271</v>
      </c>
      <c r="B111" s="15">
        <v>45023</v>
      </c>
      <c r="C111" s="16">
        <v>0.16111111111111112</v>
      </c>
      <c r="D111" t="s">
        <v>272</v>
      </c>
      <c r="E111" t="s">
        <v>48</v>
      </c>
      <c r="F111">
        <v>5</v>
      </c>
      <c r="G111" t="s">
        <v>58</v>
      </c>
      <c r="H111" t="s">
        <v>42</v>
      </c>
      <c r="I111" t="s">
        <v>11</v>
      </c>
      <c r="K111">
        <v>32</v>
      </c>
      <c r="L111" t="s">
        <v>16</v>
      </c>
      <c r="M111" t="s">
        <v>43</v>
      </c>
    </row>
    <row r="112" spans="1:13" x14ac:dyDescent="0.25">
      <c r="A112" t="s">
        <v>273</v>
      </c>
      <c r="B112" s="15">
        <v>45021</v>
      </c>
      <c r="C112" s="16">
        <v>0.13263888888888889</v>
      </c>
      <c r="D112" t="s">
        <v>274</v>
      </c>
      <c r="E112" t="s">
        <v>48</v>
      </c>
      <c r="F112">
        <v>7</v>
      </c>
      <c r="G112" t="s">
        <v>58</v>
      </c>
      <c r="H112" t="s">
        <v>42</v>
      </c>
      <c r="I112" t="s">
        <v>11</v>
      </c>
      <c r="K112">
        <v>39</v>
      </c>
      <c r="L112" t="s">
        <v>16</v>
      </c>
      <c r="M112" t="s">
        <v>43</v>
      </c>
    </row>
    <row r="113" spans="1:13" x14ac:dyDescent="0.25">
      <c r="A113" t="s">
        <v>275</v>
      </c>
      <c r="B113" s="15">
        <v>45400</v>
      </c>
      <c r="C113" s="16">
        <v>0.97569444444444442</v>
      </c>
      <c r="D113" t="s">
        <v>276</v>
      </c>
      <c r="E113" t="s">
        <v>48</v>
      </c>
      <c r="F113">
        <v>3</v>
      </c>
      <c r="G113" t="s">
        <v>58</v>
      </c>
      <c r="H113" t="s">
        <v>42</v>
      </c>
      <c r="I113" t="s">
        <v>11</v>
      </c>
      <c r="K113">
        <v>16</v>
      </c>
      <c r="L113" t="s">
        <v>16</v>
      </c>
      <c r="M113" t="s">
        <v>51</v>
      </c>
    </row>
    <row r="114" spans="1:13" x14ac:dyDescent="0.25">
      <c r="A114" t="s">
        <v>277</v>
      </c>
      <c r="B114" s="15">
        <v>45025</v>
      </c>
      <c r="C114" s="16">
        <v>0.33611111111111114</v>
      </c>
      <c r="D114" t="s">
        <v>278</v>
      </c>
      <c r="E114" t="s">
        <v>48</v>
      </c>
      <c r="F114">
        <v>6</v>
      </c>
      <c r="G114" t="s">
        <v>58</v>
      </c>
      <c r="H114" t="s">
        <v>42</v>
      </c>
      <c r="I114" t="s">
        <v>12</v>
      </c>
      <c r="K114">
        <v>11</v>
      </c>
      <c r="L114" t="s">
        <v>16</v>
      </c>
      <c r="M114" t="s">
        <v>51</v>
      </c>
    </row>
    <row r="115" spans="1:13" x14ac:dyDescent="0.25">
      <c r="A115" t="s">
        <v>279</v>
      </c>
      <c r="B115" s="15">
        <v>45412</v>
      </c>
      <c r="C115" s="16">
        <v>0.49444444444444446</v>
      </c>
      <c r="D115" t="s">
        <v>280</v>
      </c>
      <c r="E115" t="s">
        <v>40</v>
      </c>
      <c r="F115">
        <v>10</v>
      </c>
      <c r="G115" t="s">
        <v>58</v>
      </c>
      <c r="H115" t="s">
        <v>42</v>
      </c>
      <c r="I115" t="s">
        <v>12</v>
      </c>
      <c r="K115">
        <v>20</v>
      </c>
      <c r="L115" t="s">
        <v>16</v>
      </c>
      <c r="M115" t="s">
        <v>51</v>
      </c>
    </row>
    <row r="116" spans="1:13" x14ac:dyDescent="0.25">
      <c r="A116" t="s">
        <v>281</v>
      </c>
      <c r="B116" s="15">
        <v>45031</v>
      </c>
      <c r="C116" s="16">
        <v>0.40555555555555556</v>
      </c>
      <c r="D116" t="s">
        <v>282</v>
      </c>
      <c r="E116" t="s">
        <v>40</v>
      </c>
      <c r="F116">
        <v>2</v>
      </c>
      <c r="G116" t="s">
        <v>58</v>
      </c>
      <c r="H116" t="s">
        <v>42</v>
      </c>
      <c r="I116" t="s">
        <v>12</v>
      </c>
      <c r="K116">
        <v>27</v>
      </c>
      <c r="L116" t="s">
        <v>16</v>
      </c>
      <c r="M116" t="s">
        <v>51</v>
      </c>
    </row>
    <row r="117" spans="1:13" x14ac:dyDescent="0.25">
      <c r="A117" t="s">
        <v>283</v>
      </c>
      <c r="B117" s="15">
        <v>45020</v>
      </c>
      <c r="C117" s="16">
        <v>9.0972222222222218E-2</v>
      </c>
      <c r="D117" t="s">
        <v>284</v>
      </c>
      <c r="E117" t="s">
        <v>40</v>
      </c>
      <c r="F117">
        <v>7</v>
      </c>
      <c r="G117" t="s">
        <v>41</v>
      </c>
      <c r="H117" t="s">
        <v>42</v>
      </c>
      <c r="I117" t="s">
        <v>12</v>
      </c>
      <c r="K117">
        <v>17</v>
      </c>
      <c r="L117" t="s">
        <v>16</v>
      </c>
      <c r="M117" t="s">
        <v>51</v>
      </c>
    </row>
    <row r="118" spans="1:13" x14ac:dyDescent="0.25">
      <c r="A118" t="s">
        <v>285</v>
      </c>
      <c r="B118" s="15">
        <v>45403</v>
      </c>
      <c r="C118" s="16">
        <v>0.88958333333333328</v>
      </c>
      <c r="D118" t="s">
        <v>286</v>
      </c>
      <c r="E118" t="s">
        <v>40</v>
      </c>
      <c r="F118">
        <v>1</v>
      </c>
      <c r="G118" t="s">
        <v>41</v>
      </c>
      <c r="H118" t="s">
        <v>42</v>
      </c>
      <c r="I118" t="s">
        <v>12</v>
      </c>
      <c r="K118">
        <v>58</v>
      </c>
      <c r="L118" t="s">
        <v>16</v>
      </c>
      <c r="M118" t="s">
        <v>43</v>
      </c>
    </row>
    <row r="119" spans="1:13" x14ac:dyDescent="0.25">
      <c r="A119" t="s">
        <v>287</v>
      </c>
      <c r="B119" s="15">
        <v>45386</v>
      </c>
      <c r="C119" s="16">
        <v>0.2326388888888889</v>
      </c>
      <c r="D119" t="s">
        <v>288</v>
      </c>
      <c r="E119" t="s">
        <v>48</v>
      </c>
      <c r="F119">
        <v>7</v>
      </c>
      <c r="G119" t="s">
        <v>41</v>
      </c>
      <c r="H119" t="s">
        <v>42</v>
      </c>
      <c r="I119" t="s">
        <v>12</v>
      </c>
      <c r="K119">
        <v>25</v>
      </c>
      <c r="L119" t="s">
        <v>16</v>
      </c>
      <c r="M119" t="s">
        <v>51</v>
      </c>
    </row>
    <row r="120" spans="1:13" x14ac:dyDescent="0.25">
      <c r="A120" t="s">
        <v>289</v>
      </c>
      <c r="B120" s="15">
        <v>45395</v>
      </c>
      <c r="C120" s="16">
        <v>0.34236111111111112</v>
      </c>
      <c r="D120" t="s">
        <v>290</v>
      </c>
      <c r="E120" t="s">
        <v>48</v>
      </c>
      <c r="F120">
        <v>2</v>
      </c>
      <c r="G120" t="s">
        <v>41</v>
      </c>
      <c r="H120" t="s">
        <v>42</v>
      </c>
      <c r="I120" t="s">
        <v>12</v>
      </c>
      <c r="K120">
        <v>25</v>
      </c>
      <c r="L120" t="s">
        <v>16</v>
      </c>
      <c r="M120" t="s">
        <v>51</v>
      </c>
    </row>
    <row r="121" spans="1:13" x14ac:dyDescent="0.25">
      <c r="A121" t="s">
        <v>291</v>
      </c>
      <c r="B121" s="15">
        <v>45031</v>
      </c>
      <c r="C121" s="16">
        <v>0.76944444444444449</v>
      </c>
      <c r="D121" t="s">
        <v>292</v>
      </c>
      <c r="E121" t="s">
        <v>48</v>
      </c>
      <c r="F121">
        <v>4</v>
      </c>
      <c r="G121" t="s">
        <v>41</v>
      </c>
      <c r="H121" t="s">
        <v>42</v>
      </c>
      <c r="I121" t="s">
        <v>12</v>
      </c>
      <c r="K121">
        <v>22</v>
      </c>
      <c r="L121" t="s">
        <v>16</v>
      </c>
      <c r="M121" t="s">
        <v>51</v>
      </c>
    </row>
    <row r="122" spans="1:13" x14ac:dyDescent="0.25">
      <c r="A122" t="s">
        <v>293</v>
      </c>
      <c r="B122" s="15">
        <v>45408</v>
      </c>
      <c r="C122" s="16">
        <v>0.89722222222222225</v>
      </c>
      <c r="D122" t="s">
        <v>294</v>
      </c>
      <c r="E122" t="s">
        <v>48</v>
      </c>
      <c r="F122">
        <v>1</v>
      </c>
      <c r="G122" t="s">
        <v>41</v>
      </c>
      <c r="H122" t="s">
        <v>42</v>
      </c>
      <c r="I122" t="s">
        <v>12</v>
      </c>
      <c r="K122">
        <v>12</v>
      </c>
      <c r="L122" t="s">
        <v>16</v>
      </c>
      <c r="M122" t="s">
        <v>51</v>
      </c>
    </row>
    <row r="123" spans="1:13" x14ac:dyDescent="0.25">
      <c r="A123" t="s">
        <v>295</v>
      </c>
      <c r="B123" s="15">
        <v>45406</v>
      </c>
      <c r="C123" s="16">
        <v>0.65902777777777777</v>
      </c>
      <c r="D123" t="s">
        <v>296</v>
      </c>
      <c r="E123" t="s">
        <v>48</v>
      </c>
      <c r="F123">
        <v>8</v>
      </c>
      <c r="G123" t="s">
        <v>41</v>
      </c>
      <c r="H123" t="s">
        <v>42</v>
      </c>
      <c r="I123" t="s">
        <v>11</v>
      </c>
      <c r="K123">
        <v>37</v>
      </c>
      <c r="L123" t="s">
        <v>16</v>
      </c>
      <c r="M123" t="s">
        <v>43</v>
      </c>
    </row>
    <row r="124" spans="1:13" x14ac:dyDescent="0.25">
      <c r="A124" t="s">
        <v>297</v>
      </c>
      <c r="B124" s="15">
        <v>45392</v>
      </c>
      <c r="C124" s="16">
        <v>0.38472222222222224</v>
      </c>
      <c r="D124" t="s">
        <v>298</v>
      </c>
      <c r="E124" t="s">
        <v>48</v>
      </c>
      <c r="F124">
        <v>5</v>
      </c>
      <c r="G124" t="s">
        <v>41</v>
      </c>
      <c r="H124" t="s">
        <v>42</v>
      </c>
      <c r="I124" t="s">
        <v>11</v>
      </c>
      <c r="K124">
        <v>30</v>
      </c>
      <c r="L124" t="s">
        <v>16</v>
      </c>
      <c r="M124" t="s">
        <v>51</v>
      </c>
    </row>
    <row r="125" spans="1:13" x14ac:dyDescent="0.25">
      <c r="A125" t="s">
        <v>299</v>
      </c>
      <c r="B125" s="15">
        <v>45034</v>
      </c>
      <c r="C125" s="16">
        <v>0.45069444444444445</v>
      </c>
      <c r="D125" t="s">
        <v>300</v>
      </c>
      <c r="E125" t="s">
        <v>48</v>
      </c>
      <c r="F125">
        <v>10</v>
      </c>
      <c r="G125" t="s">
        <v>41</v>
      </c>
      <c r="H125" t="s">
        <v>42</v>
      </c>
      <c r="I125" t="s">
        <v>11</v>
      </c>
      <c r="K125">
        <v>48</v>
      </c>
      <c r="L125" t="s">
        <v>16</v>
      </c>
      <c r="M125" t="s">
        <v>43</v>
      </c>
    </row>
    <row r="126" spans="1:13" x14ac:dyDescent="0.25">
      <c r="A126" t="s">
        <v>301</v>
      </c>
      <c r="B126" s="15">
        <v>45389</v>
      </c>
      <c r="C126" s="16">
        <v>0.23194444444444445</v>
      </c>
      <c r="D126" t="s">
        <v>302</v>
      </c>
      <c r="E126" t="s">
        <v>48</v>
      </c>
      <c r="F126">
        <v>9</v>
      </c>
      <c r="G126" t="s">
        <v>41</v>
      </c>
      <c r="H126" t="s">
        <v>42</v>
      </c>
      <c r="I126" t="s">
        <v>11</v>
      </c>
      <c r="K126">
        <v>35</v>
      </c>
      <c r="L126" t="s">
        <v>16</v>
      </c>
      <c r="M126" t="s">
        <v>43</v>
      </c>
    </row>
    <row r="127" spans="1:13" x14ac:dyDescent="0.25">
      <c r="A127" t="s">
        <v>303</v>
      </c>
      <c r="B127" s="15">
        <v>45017</v>
      </c>
      <c r="C127" s="16">
        <v>0.25486111111111109</v>
      </c>
      <c r="D127" t="s">
        <v>304</v>
      </c>
      <c r="E127" t="s">
        <v>48</v>
      </c>
      <c r="F127">
        <v>6</v>
      </c>
      <c r="G127" t="s">
        <v>41</v>
      </c>
      <c r="H127" t="s">
        <v>42</v>
      </c>
      <c r="I127" t="s">
        <v>11</v>
      </c>
      <c r="K127">
        <v>52</v>
      </c>
      <c r="L127" t="s">
        <v>16</v>
      </c>
      <c r="M127" t="s">
        <v>43</v>
      </c>
    </row>
    <row r="128" spans="1:13" x14ac:dyDescent="0.25">
      <c r="A128" t="s">
        <v>305</v>
      </c>
      <c r="B128" s="15">
        <v>45021</v>
      </c>
      <c r="C128" s="16">
        <v>0.27291666666666664</v>
      </c>
      <c r="D128" t="s">
        <v>306</v>
      </c>
      <c r="E128" t="s">
        <v>48</v>
      </c>
      <c r="F128">
        <v>4</v>
      </c>
      <c r="G128" t="s">
        <v>41</v>
      </c>
      <c r="H128" t="s">
        <v>42</v>
      </c>
      <c r="I128" t="s">
        <v>11</v>
      </c>
      <c r="K128">
        <v>22</v>
      </c>
      <c r="L128" t="s">
        <v>16</v>
      </c>
      <c r="M128" t="s">
        <v>51</v>
      </c>
    </row>
    <row r="129" spans="1:13" x14ac:dyDescent="0.25">
      <c r="A129" t="s">
        <v>307</v>
      </c>
      <c r="B129" s="15">
        <v>45039</v>
      </c>
      <c r="C129" s="16">
        <v>0.29791666666666666</v>
      </c>
      <c r="D129" t="s">
        <v>308</v>
      </c>
      <c r="E129" t="s">
        <v>40</v>
      </c>
      <c r="F129">
        <v>8</v>
      </c>
      <c r="G129" t="s">
        <v>41</v>
      </c>
      <c r="H129" t="s">
        <v>42</v>
      </c>
      <c r="I129" t="s">
        <v>11</v>
      </c>
      <c r="K129">
        <v>59</v>
      </c>
      <c r="L129" t="s">
        <v>16</v>
      </c>
      <c r="M129" t="s">
        <v>43</v>
      </c>
    </row>
    <row r="130" spans="1:13" x14ac:dyDescent="0.25">
      <c r="A130" t="s">
        <v>309</v>
      </c>
      <c r="B130" s="15">
        <v>45397</v>
      </c>
      <c r="C130" s="16">
        <v>0.80347222222222225</v>
      </c>
      <c r="D130" t="s">
        <v>310</v>
      </c>
      <c r="E130" t="s">
        <v>40</v>
      </c>
      <c r="F130">
        <v>3</v>
      </c>
      <c r="G130" t="s">
        <v>41</v>
      </c>
      <c r="H130" t="s">
        <v>42</v>
      </c>
      <c r="I130" t="s">
        <v>11</v>
      </c>
      <c r="K130">
        <v>35</v>
      </c>
      <c r="L130" t="s">
        <v>16</v>
      </c>
      <c r="M130" t="s">
        <v>43</v>
      </c>
    </row>
    <row r="131" spans="1:13" x14ac:dyDescent="0.25">
      <c r="A131" t="s">
        <v>311</v>
      </c>
      <c r="B131" s="15">
        <v>45392</v>
      </c>
      <c r="C131" s="16">
        <v>0.61458333333333337</v>
      </c>
      <c r="D131" t="s">
        <v>312</v>
      </c>
      <c r="E131" t="s">
        <v>40</v>
      </c>
      <c r="F131">
        <v>8</v>
      </c>
      <c r="G131" t="s">
        <v>41</v>
      </c>
      <c r="H131" t="s">
        <v>42</v>
      </c>
      <c r="I131" t="s">
        <v>11</v>
      </c>
      <c r="K131">
        <v>23</v>
      </c>
      <c r="L131" t="s">
        <v>16</v>
      </c>
      <c r="M131" t="s">
        <v>51</v>
      </c>
    </row>
    <row r="132" spans="1:13" x14ac:dyDescent="0.25">
      <c r="A132" t="s">
        <v>313</v>
      </c>
      <c r="B132" s="15">
        <v>45406</v>
      </c>
      <c r="C132" s="16">
        <v>0.66597222222222219</v>
      </c>
      <c r="D132" t="s">
        <v>314</v>
      </c>
      <c r="E132" t="s">
        <v>40</v>
      </c>
      <c r="F132">
        <v>7</v>
      </c>
      <c r="G132" t="s">
        <v>41</v>
      </c>
      <c r="H132" t="s">
        <v>42</v>
      </c>
      <c r="I132" t="s">
        <v>11</v>
      </c>
      <c r="K132">
        <v>35</v>
      </c>
      <c r="L132" t="s">
        <v>16</v>
      </c>
      <c r="M132" t="s">
        <v>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0"/>
  <sheetViews>
    <sheetView topLeftCell="A50" workbookViewId="0">
      <selection activeCell="D59" sqref="D59"/>
    </sheetView>
  </sheetViews>
  <sheetFormatPr defaultRowHeight="15" x14ac:dyDescent="0.25"/>
  <cols>
    <col min="1" max="1" width="16.5703125" customWidth="1"/>
    <col min="2" max="2" width="27.85546875" customWidth="1"/>
    <col min="3" max="4" width="13.140625" customWidth="1"/>
    <col min="5" max="5" width="23" bestFit="1" customWidth="1"/>
    <col min="6" max="6" width="13.140625" customWidth="1"/>
    <col min="7" max="8" width="18.7109375" customWidth="1"/>
    <col min="9" max="9" width="13.140625" bestFit="1" customWidth="1"/>
    <col min="10" max="10" width="34.28515625" bestFit="1" customWidth="1"/>
  </cols>
  <sheetData>
    <row r="3" spans="1:10" x14ac:dyDescent="0.25">
      <c r="A3" t="s">
        <v>1</v>
      </c>
    </row>
    <row r="4" spans="1:10" x14ac:dyDescent="0.25">
      <c r="A4" t="s">
        <v>0</v>
      </c>
      <c r="C4" s="6" t="s">
        <v>4</v>
      </c>
      <c r="D4" t="s">
        <v>6</v>
      </c>
      <c r="F4" s="6" t="s">
        <v>4</v>
      </c>
      <c r="G4" t="s">
        <v>2</v>
      </c>
      <c r="I4" s="6" t="s">
        <v>4</v>
      </c>
      <c r="J4" t="s">
        <v>3</v>
      </c>
    </row>
    <row r="5" spans="1:10" x14ac:dyDescent="0.25">
      <c r="A5" s="1">
        <v>493</v>
      </c>
      <c r="C5" s="7" t="s">
        <v>320</v>
      </c>
      <c r="D5" s="1">
        <v>15</v>
      </c>
      <c r="F5" s="7" t="s">
        <v>320</v>
      </c>
      <c r="G5" s="2">
        <v>36.4</v>
      </c>
      <c r="I5" s="7" t="s">
        <v>320</v>
      </c>
      <c r="J5" s="2">
        <v>4.8</v>
      </c>
    </row>
    <row r="6" spans="1:10" x14ac:dyDescent="0.25">
      <c r="C6" s="7" t="s">
        <v>321</v>
      </c>
      <c r="D6" s="1">
        <v>14</v>
      </c>
      <c r="F6" s="7" t="s">
        <v>321</v>
      </c>
      <c r="G6" s="2">
        <v>33.357142857142854</v>
      </c>
      <c r="I6" s="7" t="s">
        <v>321</v>
      </c>
      <c r="J6" s="2">
        <v>3.8</v>
      </c>
    </row>
    <row r="7" spans="1:10" x14ac:dyDescent="0.25">
      <c r="C7" s="7" t="s">
        <v>322</v>
      </c>
      <c r="D7" s="1">
        <v>15</v>
      </c>
      <c r="F7" s="7" t="s">
        <v>322</v>
      </c>
      <c r="G7" s="2">
        <v>38.200000000000003</v>
      </c>
      <c r="I7" s="7" t="s">
        <v>322</v>
      </c>
      <c r="J7" s="2">
        <v>2.5</v>
      </c>
    </row>
    <row r="8" spans="1:10" x14ac:dyDescent="0.25">
      <c r="A8" t="s">
        <v>2</v>
      </c>
      <c r="C8" s="7" t="s">
        <v>323</v>
      </c>
      <c r="D8" s="1">
        <v>18</v>
      </c>
      <c r="F8" s="7" t="s">
        <v>323</v>
      </c>
      <c r="G8" s="2">
        <v>37.611111111111114</v>
      </c>
      <c r="I8" s="7" t="s">
        <v>323</v>
      </c>
      <c r="J8" s="2">
        <v>3.75</v>
      </c>
    </row>
    <row r="9" spans="1:10" x14ac:dyDescent="0.25">
      <c r="A9" s="2">
        <v>34.933062880324542</v>
      </c>
      <c r="C9" s="7" t="s">
        <v>324</v>
      </c>
      <c r="D9" s="1">
        <v>19</v>
      </c>
      <c r="F9" s="7" t="s">
        <v>324</v>
      </c>
      <c r="G9" s="2">
        <v>29.210526315789473</v>
      </c>
      <c r="I9" s="7" t="s">
        <v>324</v>
      </c>
      <c r="J9" s="2">
        <v>5.333333333333333</v>
      </c>
    </row>
    <row r="10" spans="1:10" x14ac:dyDescent="0.25">
      <c r="C10" s="7" t="s">
        <v>325</v>
      </c>
      <c r="D10" s="1">
        <v>15</v>
      </c>
      <c r="F10" s="7" t="s">
        <v>325</v>
      </c>
      <c r="G10" s="2">
        <v>37.266666666666666</v>
      </c>
      <c r="I10" s="7" t="s">
        <v>325</v>
      </c>
      <c r="J10" s="2">
        <v>5.6</v>
      </c>
    </row>
    <row r="11" spans="1:10" x14ac:dyDescent="0.25">
      <c r="C11" s="7" t="s">
        <v>326</v>
      </c>
      <c r="D11" s="1">
        <v>15</v>
      </c>
      <c r="F11" s="7" t="s">
        <v>326</v>
      </c>
      <c r="G11" s="2">
        <v>34.133333333333333</v>
      </c>
      <c r="I11" s="7" t="s">
        <v>326</v>
      </c>
      <c r="J11" s="2">
        <v>8.4</v>
      </c>
    </row>
    <row r="12" spans="1:10" x14ac:dyDescent="0.25">
      <c r="A12" t="s">
        <v>3</v>
      </c>
      <c r="C12" s="7" t="s">
        <v>327</v>
      </c>
      <c r="D12" s="1">
        <v>10</v>
      </c>
      <c r="F12" s="7" t="s">
        <v>327</v>
      </c>
      <c r="G12" s="2">
        <v>38.6</v>
      </c>
      <c r="I12" s="7" t="s">
        <v>327</v>
      </c>
      <c r="J12" s="2">
        <v>3</v>
      </c>
    </row>
    <row r="13" spans="1:10" x14ac:dyDescent="0.25">
      <c r="A13" s="2">
        <v>4.7449664429530198</v>
      </c>
      <c r="C13" s="7" t="s">
        <v>328</v>
      </c>
      <c r="D13" s="1">
        <v>19</v>
      </c>
      <c r="F13" s="7" t="s">
        <v>328</v>
      </c>
      <c r="G13" s="2">
        <v>36.05263157894737</v>
      </c>
      <c r="I13" s="7" t="s">
        <v>328</v>
      </c>
      <c r="J13" s="2">
        <v>5</v>
      </c>
    </row>
    <row r="14" spans="1:10" x14ac:dyDescent="0.25">
      <c r="C14" s="7" t="s">
        <v>329</v>
      </c>
      <c r="D14" s="1">
        <v>12</v>
      </c>
      <c r="F14" s="7" t="s">
        <v>329</v>
      </c>
      <c r="G14" s="2">
        <v>39.833333333333336</v>
      </c>
      <c r="I14" s="7" t="s">
        <v>329</v>
      </c>
      <c r="J14" s="2">
        <v>7</v>
      </c>
    </row>
    <row r="15" spans="1:10" x14ac:dyDescent="0.25">
      <c r="C15" s="7" t="s">
        <v>330</v>
      </c>
      <c r="D15" s="1">
        <v>20</v>
      </c>
      <c r="F15" s="7" t="s">
        <v>330</v>
      </c>
      <c r="G15" s="2">
        <v>34.700000000000003</v>
      </c>
      <c r="I15" s="7" t="s">
        <v>330</v>
      </c>
      <c r="J15" s="2">
        <v>5.2857142857142856</v>
      </c>
    </row>
    <row r="16" spans="1:10" x14ac:dyDescent="0.25">
      <c r="C16" s="7" t="s">
        <v>331</v>
      </c>
      <c r="D16" s="1">
        <v>18</v>
      </c>
      <c r="F16" s="7" t="s">
        <v>331</v>
      </c>
      <c r="G16" s="2">
        <v>41.055555555555557</v>
      </c>
      <c r="I16" s="7" t="s">
        <v>331</v>
      </c>
      <c r="J16" s="2">
        <v>3</v>
      </c>
    </row>
    <row r="17" spans="3:10" x14ac:dyDescent="0.25">
      <c r="C17" s="7" t="s">
        <v>332</v>
      </c>
      <c r="D17" s="1">
        <v>20</v>
      </c>
      <c r="F17" s="7" t="s">
        <v>332</v>
      </c>
      <c r="G17" s="2">
        <v>36.950000000000003</v>
      </c>
      <c r="I17" s="7" t="s">
        <v>332</v>
      </c>
      <c r="J17" s="2">
        <v>4.5</v>
      </c>
    </row>
    <row r="18" spans="3:10" x14ac:dyDescent="0.25">
      <c r="C18" s="7" t="s">
        <v>333</v>
      </c>
      <c r="D18" s="1">
        <v>11</v>
      </c>
      <c r="F18" s="7" t="s">
        <v>333</v>
      </c>
      <c r="G18" s="2">
        <v>38.18181818181818</v>
      </c>
      <c r="I18" s="7" t="s">
        <v>333</v>
      </c>
      <c r="J18" s="2">
        <v>6.25</v>
      </c>
    </row>
    <row r="19" spans="3:10" x14ac:dyDescent="0.25">
      <c r="C19" s="7" t="s">
        <v>334</v>
      </c>
      <c r="D19" s="1">
        <v>10</v>
      </c>
      <c r="F19" s="7" t="s">
        <v>334</v>
      </c>
      <c r="G19" s="2">
        <v>30.9</v>
      </c>
      <c r="I19" s="7" t="s">
        <v>334</v>
      </c>
      <c r="J19" s="2">
        <v>5</v>
      </c>
    </row>
    <row r="20" spans="3:10" x14ac:dyDescent="0.25">
      <c r="C20" s="7" t="s">
        <v>335</v>
      </c>
      <c r="D20" s="1">
        <v>14</v>
      </c>
      <c r="F20" s="7" t="s">
        <v>335</v>
      </c>
      <c r="G20" s="2">
        <v>27.571428571428573</v>
      </c>
      <c r="I20" s="7" t="s">
        <v>335</v>
      </c>
      <c r="J20" s="2">
        <v>6.8</v>
      </c>
    </row>
    <row r="21" spans="3:10" x14ac:dyDescent="0.25">
      <c r="C21" s="7" t="s">
        <v>336</v>
      </c>
      <c r="D21" s="1">
        <v>11</v>
      </c>
      <c r="F21" s="7" t="s">
        <v>336</v>
      </c>
      <c r="G21" s="2">
        <v>33.18181818181818</v>
      </c>
      <c r="I21" s="7" t="s">
        <v>336</v>
      </c>
      <c r="J21" s="2">
        <v>5</v>
      </c>
    </row>
    <row r="22" spans="3:10" x14ac:dyDescent="0.25">
      <c r="C22" s="7" t="s">
        <v>337</v>
      </c>
      <c r="D22" s="1">
        <v>25</v>
      </c>
      <c r="F22" s="7" t="s">
        <v>337</v>
      </c>
      <c r="G22" s="2">
        <v>34.28</v>
      </c>
      <c r="I22" s="7" t="s">
        <v>337</v>
      </c>
      <c r="J22" s="2">
        <v>4.7142857142857144</v>
      </c>
    </row>
    <row r="23" spans="3:10" x14ac:dyDescent="0.25">
      <c r="C23" s="7" t="s">
        <v>338</v>
      </c>
      <c r="D23" s="1">
        <v>17</v>
      </c>
      <c r="F23" s="7" t="s">
        <v>338</v>
      </c>
      <c r="G23" s="2">
        <v>39.764705882352942</v>
      </c>
      <c r="I23" s="7" t="s">
        <v>338</v>
      </c>
      <c r="J23" s="2">
        <v>6.7142857142857144</v>
      </c>
    </row>
    <row r="24" spans="3:10" x14ac:dyDescent="0.25">
      <c r="C24" s="7" t="s">
        <v>339</v>
      </c>
      <c r="D24" s="1">
        <v>22</v>
      </c>
      <c r="F24" s="7" t="s">
        <v>339</v>
      </c>
      <c r="G24" s="2">
        <v>31.954545454545453</v>
      </c>
      <c r="I24" s="7" t="s">
        <v>339</v>
      </c>
      <c r="J24" s="2">
        <v>1.5714285714285714</v>
      </c>
    </row>
    <row r="25" spans="3:10" x14ac:dyDescent="0.25">
      <c r="C25" s="7" t="s">
        <v>340</v>
      </c>
      <c r="D25" s="1">
        <v>18</v>
      </c>
      <c r="F25" s="7" t="s">
        <v>340</v>
      </c>
      <c r="G25" s="2">
        <v>30.166666666666668</v>
      </c>
      <c r="I25" s="7" t="s">
        <v>340</v>
      </c>
      <c r="J25" s="2">
        <v>5.125</v>
      </c>
    </row>
    <row r="26" spans="3:10" x14ac:dyDescent="0.25">
      <c r="C26" s="7" t="s">
        <v>341</v>
      </c>
      <c r="D26" s="1">
        <v>16</v>
      </c>
      <c r="F26" s="7" t="s">
        <v>341</v>
      </c>
      <c r="G26" s="2">
        <v>36.875</v>
      </c>
      <c r="I26" s="7" t="s">
        <v>341</v>
      </c>
      <c r="J26" s="2">
        <v>4.5</v>
      </c>
    </row>
    <row r="27" spans="3:10" x14ac:dyDescent="0.25">
      <c r="C27" s="7" t="s">
        <v>342</v>
      </c>
      <c r="D27" s="1">
        <v>14</v>
      </c>
      <c r="F27" s="7" t="s">
        <v>342</v>
      </c>
      <c r="G27" s="2">
        <v>38.714285714285715</v>
      </c>
      <c r="I27" s="7" t="s">
        <v>342</v>
      </c>
      <c r="J27" s="2">
        <v>5.666666666666667</v>
      </c>
    </row>
    <row r="28" spans="3:10" x14ac:dyDescent="0.25">
      <c r="C28" s="7" t="s">
        <v>343</v>
      </c>
      <c r="D28" s="1">
        <v>13</v>
      </c>
      <c r="F28" s="7" t="s">
        <v>343</v>
      </c>
      <c r="G28" s="2">
        <v>31.923076923076923</v>
      </c>
      <c r="I28" s="7" t="s">
        <v>343</v>
      </c>
      <c r="J28" s="2">
        <v>6.5</v>
      </c>
    </row>
    <row r="29" spans="3:10" x14ac:dyDescent="0.25">
      <c r="C29" s="7" t="s">
        <v>344</v>
      </c>
      <c r="D29" s="1">
        <v>15</v>
      </c>
      <c r="F29" s="7" t="s">
        <v>344</v>
      </c>
      <c r="G29" s="2">
        <v>29.6</v>
      </c>
      <c r="I29" s="7" t="s">
        <v>344</v>
      </c>
      <c r="J29" s="2">
        <v>4.333333333333333</v>
      </c>
    </row>
    <row r="30" spans="3:10" x14ac:dyDescent="0.25">
      <c r="C30" s="7" t="s">
        <v>345</v>
      </c>
      <c r="D30" s="1">
        <v>18</v>
      </c>
      <c r="F30" s="7" t="s">
        <v>345</v>
      </c>
      <c r="G30" s="2">
        <v>31.666666666666668</v>
      </c>
      <c r="I30" s="7" t="s">
        <v>345</v>
      </c>
      <c r="J30" s="2">
        <v>4</v>
      </c>
    </row>
    <row r="31" spans="3:10" x14ac:dyDescent="0.25">
      <c r="C31" s="7" t="s">
        <v>346</v>
      </c>
      <c r="D31" s="1">
        <v>10</v>
      </c>
      <c r="F31" s="7" t="s">
        <v>346</v>
      </c>
      <c r="G31" s="2">
        <v>42.6</v>
      </c>
      <c r="I31" s="7" t="s">
        <v>346</v>
      </c>
      <c r="J31" s="2">
        <v>4.5</v>
      </c>
    </row>
    <row r="32" spans="3:10" x14ac:dyDescent="0.25">
      <c r="C32" s="7" t="s">
        <v>347</v>
      </c>
      <c r="D32" s="1">
        <v>15</v>
      </c>
      <c r="F32" s="7" t="s">
        <v>347</v>
      </c>
      <c r="G32" s="2">
        <v>33.799999999999997</v>
      </c>
      <c r="I32" s="7" t="s">
        <v>347</v>
      </c>
      <c r="J32" s="2">
        <v>3.6666666666666665</v>
      </c>
    </row>
    <row r="33" spans="1:10" x14ac:dyDescent="0.25">
      <c r="C33" s="7" t="s">
        <v>348</v>
      </c>
      <c r="D33" s="1">
        <v>18</v>
      </c>
      <c r="F33" s="7" t="s">
        <v>348</v>
      </c>
      <c r="G33" s="2">
        <v>40.555555555555557</v>
      </c>
      <c r="I33" s="7" t="s">
        <v>348</v>
      </c>
      <c r="J33" s="2">
        <v>3.2</v>
      </c>
    </row>
    <row r="34" spans="1:10" x14ac:dyDescent="0.25">
      <c r="C34" s="7" t="s">
        <v>349</v>
      </c>
      <c r="D34" s="1">
        <v>16</v>
      </c>
      <c r="F34" s="7" t="s">
        <v>349</v>
      </c>
      <c r="G34" s="2">
        <v>26.75</v>
      </c>
      <c r="I34" s="7" t="s">
        <v>349</v>
      </c>
      <c r="J34" s="2">
        <v>2.6666666666666665</v>
      </c>
    </row>
    <row r="35" spans="1:10" x14ac:dyDescent="0.25">
      <c r="C35" s="7" t="s">
        <v>350</v>
      </c>
      <c r="D35" s="1">
        <v>20</v>
      </c>
      <c r="F35" s="7" t="s">
        <v>350</v>
      </c>
      <c r="G35" s="2">
        <v>35.049999999999997</v>
      </c>
      <c r="I35" s="7" t="s">
        <v>350</v>
      </c>
      <c r="J35" s="2">
        <v>5</v>
      </c>
    </row>
    <row r="36" spans="1:10" x14ac:dyDescent="0.25">
      <c r="C36" s="7" t="s">
        <v>5</v>
      </c>
      <c r="D36" s="1">
        <v>493</v>
      </c>
      <c r="F36" s="7" t="s">
        <v>5</v>
      </c>
      <c r="G36" s="2">
        <v>34.933062880324542</v>
      </c>
      <c r="I36" s="7" t="s">
        <v>5</v>
      </c>
      <c r="J36" s="2">
        <v>4.7449664429530198</v>
      </c>
    </row>
    <row r="39" spans="1:10" x14ac:dyDescent="0.25">
      <c r="A39" s="6" t="s">
        <v>4</v>
      </c>
      <c r="B39" t="s">
        <v>10</v>
      </c>
      <c r="C39" t="s">
        <v>13</v>
      </c>
    </row>
    <row r="40" spans="1:10" x14ac:dyDescent="0.25">
      <c r="A40" s="7" t="s">
        <v>11</v>
      </c>
      <c r="B40" s="2">
        <v>239</v>
      </c>
      <c r="C40" s="8">
        <v>0.48478701825557807</v>
      </c>
    </row>
    <row r="41" spans="1:10" x14ac:dyDescent="0.25">
      <c r="A41" s="7" t="s">
        <v>12</v>
      </c>
      <c r="B41" s="2">
        <v>254</v>
      </c>
      <c r="C41" s="8">
        <v>0.51521298174442187</v>
      </c>
    </row>
    <row r="42" spans="1:10" x14ac:dyDescent="0.25">
      <c r="A42" s="7" t="s">
        <v>5</v>
      </c>
      <c r="B42" s="2">
        <v>493</v>
      </c>
      <c r="C42" s="8">
        <v>1</v>
      </c>
    </row>
    <row r="44" spans="1:10" ht="24" customHeight="1" x14ac:dyDescent="0.25"/>
    <row r="45" spans="1:10" ht="16.5" customHeight="1" x14ac:dyDescent="0.25">
      <c r="A45" s="9" t="s">
        <v>14</v>
      </c>
      <c r="B45" s="9" t="s">
        <v>1</v>
      </c>
      <c r="C45" s="9" t="s">
        <v>15</v>
      </c>
      <c r="D45" s="9"/>
      <c r="F45" s="6" t="s">
        <v>4</v>
      </c>
      <c r="G45" t="s">
        <v>24</v>
      </c>
    </row>
    <row r="46" spans="1:10" ht="13.5" customHeight="1" x14ac:dyDescent="0.25">
      <c r="A46" s="10" t="str">
        <f>A41</f>
        <v>Not Admitted</v>
      </c>
      <c r="B46" s="10">
        <f t="shared" ref="B46" si="0">B41</f>
        <v>254</v>
      </c>
      <c r="C46" s="11">
        <f>C41</f>
        <v>0.51521298174442187</v>
      </c>
      <c r="D46" s="10"/>
      <c r="F46" s="7" t="s">
        <v>16</v>
      </c>
      <c r="G46" s="17">
        <v>52</v>
      </c>
    </row>
    <row r="47" spans="1:10" ht="13.5" customHeight="1" x14ac:dyDescent="0.25">
      <c r="A47" s="10" t="str">
        <f>A40</f>
        <v>Admitted</v>
      </c>
      <c r="B47" s="10">
        <f t="shared" ref="B47" si="1">B40</f>
        <v>239</v>
      </c>
      <c r="C47" s="11">
        <f>C40</f>
        <v>0.48478701825557807</v>
      </c>
      <c r="D47" s="10"/>
      <c r="F47" s="7" t="s">
        <v>17</v>
      </c>
      <c r="G47" s="17">
        <v>65</v>
      </c>
    </row>
    <row r="48" spans="1:10" x14ac:dyDescent="0.25">
      <c r="F48" s="7" t="s">
        <v>18</v>
      </c>
      <c r="G48" s="17">
        <v>64</v>
      </c>
    </row>
    <row r="49" spans="1:7" x14ac:dyDescent="0.25">
      <c r="F49" s="7" t="s">
        <v>19</v>
      </c>
      <c r="G49" s="17">
        <v>57</v>
      </c>
    </row>
    <row r="50" spans="1:7" x14ac:dyDescent="0.25">
      <c r="A50" s="6" t="s">
        <v>4</v>
      </c>
      <c r="B50" t="s">
        <v>316</v>
      </c>
      <c r="F50" s="7" t="s">
        <v>20</v>
      </c>
      <c r="G50" s="17">
        <v>71</v>
      </c>
    </row>
    <row r="51" spans="1:7" x14ac:dyDescent="0.25">
      <c r="A51" s="7" t="s">
        <v>43</v>
      </c>
      <c r="B51" s="17">
        <v>281</v>
      </c>
      <c r="F51" s="7" t="s">
        <v>21</v>
      </c>
      <c r="G51" s="17">
        <v>59</v>
      </c>
    </row>
    <row r="52" spans="1:7" x14ac:dyDescent="0.25">
      <c r="A52" s="7" t="s">
        <v>51</v>
      </c>
      <c r="B52" s="17">
        <v>212</v>
      </c>
      <c r="F52" s="7" t="s">
        <v>22</v>
      </c>
      <c r="G52" s="17">
        <v>61</v>
      </c>
    </row>
    <row r="53" spans="1:7" x14ac:dyDescent="0.25">
      <c r="A53" s="7" t="s">
        <v>5</v>
      </c>
      <c r="B53" s="2">
        <v>493</v>
      </c>
      <c r="F53" s="7" t="s">
        <v>23</v>
      </c>
      <c r="G53" s="17">
        <v>64</v>
      </c>
    </row>
    <row r="54" spans="1:7" x14ac:dyDescent="0.25">
      <c r="D54" s="12"/>
      <c r="F54" s="7" t="s">
        <v>5</v>
      </c>
      <c r="G54" s="2">
        <v>493</v>
      </c>
    </row>
    <row r="56" spans="1:7" x14ac:dyDescent="0.25">
      <c r="A56" s="6" t="s">
        <v>4</v>
      </c>
      <c r="B56" t="s">
        <v>317</v>
      </c>
    </row>
    <row r="57" spans="1:7" x14ac:dyDescent="0.25">
      <c r="A57" s="7" t="s">
        <v>48</v>
      </c>
      <c r="B57" s="2">
        <v>248</v>
      </c>
    </row>
    <row r="58" spans="1:7" x14ac:dyDescent="0.25">
      <c r="A58" s="7" t="s">
        <v>40</v>
      </c>
      <c r="B58" s="2">
        <v>245</v>
      </c>
    </row>
    <row r="59" spans="1:7" x14ac:dyDescent="0.25">
      <c r="A59" s="7" t="s">
        <v>5</v>
      </c>
      <c r="B59" s="2">
        <v>493</v>
      </c>
      <c r="D59" s="6" t="s">
        <v>4</v>
      </c>
    </row>
    <row r="60" spans="1:7" x14ac:dyDescent="0.25">
      <c r="D60" s="7" t="s">
        <v>319</v>
      </c>
    </row>
    <row r="61" spans="1:7" x14ac:dyDescent="0.25">
      <c r="A61" s="6" t="s">
        <v>4</v>
      </c>
      <c r="B61" t="s">
        <v>318</v>
      </c>
      <c r="D61" s="7" t="s">
        <v>5</v>
      </c>
    </row>
    <row r="62" spans="1:7" x14ac:dyDescent="0.25">
      <c r="A62" s="7" t="s">
        <v>121</v>
      </c>
      <c r="B62" s="17">
        <v>9</v>
      </c>
    </row>
    <row r="63" spans="1:7" x14ac:dyDescent="0.25">
      <c r="A63" s="7" t="s">
        <v>124</v>
      </c>
      <c r="B63" s="17">
        <v>9</v>
      </c>
    </row>
    <row r="64" spans="1:7" x14ac:dyDescent="0.25">
      <c r="A64" s="7" t="s">
        <v>148</v>
      </c>
      <c r="B64" s="17">
        <v>10</v>
      </c>
    </row>
    <row r="65" spans="1:2" x14ac:dyDescent="0.25">
      <c r="A65" s="7" t="s">
        <v>141</v>
      </c>
      <c r="B65" s="17">
        <v>11</v>
      </c>
    </row>
    <row r="66" spans="1:2" x14ac:dyDescent="0.25">
      <c r="A66" s="7" t="s">
        <v>118</v>
      </c>
      <c r="B66" s="17">
        <v>15</v>
      </c>
    </row>
    <row r="67" spans="1:2" x14ac:dyDescent="0.25">
      <c r="A67" s="7" t="s">
        <v>103</v>
      </c>
      <c r="B67" s="17">
        <v>61</v>
      </c>
    </row>
    <row r="68" spans="1:2" x14ac:dyDescent="0.25">
      <c r="A68" s="7" t="s">
        <v>90</v>
      </c>
      <c r="B68" s="17">
        <v>96</v>
      </c>
    </row>
    <row r="69" spans="1:2" x14ac:dyDescent="0.25">
      <c r="A69" s="7" t="s">
        <v>42</v>
      </c>
      <c r="B69" s="17">
        <v>282</v>
      </c>
    </row>
    <row r="70" spans="1:2" x14ac:dyDescent="0.25">
      <c r="A70" s="7" t="s">
        <v>5</v>
      </c>
      <c r="B70" s="17">
        <v>493</v>
      </c>
    </row>
  </sheetData>
  <pageMargins left="0.7" right="0.7" top="0.75" bottom="0.75" header="0.3" footer="0.3"/>
  <pageSetup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30C046A-98F5-4F01-ACF3-5999D2FE099C}">
  <ds:schemaRefs/>
</ds:datastoreItem>
</file>

<file path=customXml/itemProps2.xml><?xml version="1.0" encoding="utf-8"?>
<ds:datastoreItem xmlns:ds="http://schemas.openxmlformats.org/officeDocument/2006/customXml" ds:itemID="{5AACA244-C833-48A5-9E5B-DD65D6613D7E}">
  <ds:schemaRefs/>
</ds:datastoreItem>
</file>

<file path=customXml/itemProps3.xml><?xml version="1.0" encoding="utf-8"?>
<ds:datastoreItem xmlns:ds="http://schemas.openxmlformats.org/officeDocument/2006/customXml" ds:itemID="{4917DE67-73C3-4E90-9CC2-C956F63C7971}">
  <ds:schemaRefs>
    <ds:schemaRef ds:uri="http://schemas.microsoft.com/DataMashup"/>
  </ds:schemaRefs>
</ds:datastoreItem>
</file>

<file path=customXml/itemProps4.xml><?xml version="1.0" encoding="utf-8"?>
<ds:datastoreItem xmlns:ds="http://schemas.openxmlformats.org/officeDocument/2006/customXml" ds:itemID="{EFE171EC-BA22-498F-A6C1-6F638596D3C4}">
  <ds:schemaRefs/>
</ds:datastoreItem>
</file>

<file path=customXml/itemProps5.xml><?xml version="1.0" encoding="utf-8"?>
<ds:datastoreItem xmlns:ds="http://schemas.openxmlformats.org/officeDocument/2006/customXml" ds:itemID="{EFEF62C2-3281-47CF-B722-74D99A122E51}">
  <ds:schemaRefs/>
</ds:datastoreItem>
</file>

<file path=customXml/itemProps6.xml><?xml version="1.0" encoding="utf-8"?>
<ds:datastoreItem xmlns:ds="http://schemas.openxmlformats.org/officeDocument/2006/customXml" ds:itemID="{A2E833A6-8EC3-4FF9-B94E-6FD392154D3A}">
  <ds:schemaRefs/>
</ds:datastoreItem>
</file>

<file path=customXml/itemProps7.xml><?xml version="1.0" encoding="utf-8"?>
<ds:datastoreItem xmlns:ds="http://schemas.openxmlformats.org/officeDocument/2006/customXml" ds:itemID="{B676B591-DCFE-469E-A73F-817114F919A5}">
  <ds:schemaRefs/>
</ds:datastoreItem>
</file>

<file path=customXml/itemProps8.xml><?xml version="1.0" encoding="utf-8"?>
<ds:datastoreItem xmlns:ds="http://schemas.openxmlformats.org/officeDocument/2006/customXml" ds:itemID="{491B912D-57BE-4907-AC0E-D1D62F846738}">
  <ds:schemaRefs/>
</ds:datastoreItem>
</file>

<file path=customXml/itemProps9.xml><?xml version="1.0" encoding="utf-8"?>
<ds:datastoreItem xmlns:ds="http://schemas.openxmlformats.org/officeDocument/2006/customXml" ds:itemID="{73A3C470-D092-47E3-AFA8-33A3F31A185A}">
  <ds:schemaRefs/>
</ds:datastoreItem>
</file>

<file path=customXml/itemProps10.xml><?xml version="1.0" encoding="utf-8"?>
<ds:datastoreItem xmlns:ds="http://schemas.openxmlformats.org/officeDocument/2006/customXml" ds:itemID="{DA547B7B-1ECD-4A9A-A625-5CD7F49234A9}">
  <ds:schemaRefs/>
</ds:datastoreItem>
</file>

<file path=customXml/itemProps11.xml><?xml version="1.0" encoding="utf-8"?>
<ds:datastoreItem xmlns:ds="http://schemas.openxmlformats.org/officeDocument/2006/customXml" ds:itemID="{FA975C35-7C9E-419C-ADAD-EAADDC04DAB7}">
  <ds:schemaRefs/>
</ds:datastoreItem>
</file>

<file path=customXml/itemProps12.xml><?xml version="1.0" encoding="utf-8"?>
<ds:datastoreItem xmlns:ds="http://schemas.openxmlformats.org/officeDocument/2006/customXml" ds:itemID="{D1BADB2D-AC85-4B77-850B-CF72B74AC3E1}">
  <ds:schemaRefs/>
</ds:datastoreItem>
</file>

<file path=customXml/itemProps13.xml><?xml version="1.0" encoding="utf-8"?>
<ds:datastoreItem xmlns:ds="http://schemas.openxmlformats.org/officeDocument/2006/customXml" ds:itemID="{3065C59C-6F73-457C-AFC4-16289CD99351}">
  <ds:schemaRefs/>
</ds:datastoreItem>
</file>

<file path=customXml/itemProps14.xml><?xml version="1.0" encoding="utf-8"?>
<ds:datastoreItem xmlns:ds="http://schemas.openxmlformats.org/officeDocument/2006/customXml" ds:itemID="{DD52623D-A854-482E-AA16-B040CE7996CD}">
  <ds:schemaRefs/>
</ds:datastoreItem>
</file>

<file path=customXml/itemProps15.xml><?xml version="1.0" encoding="utf-8"?>
<ds:datastoreItem xmlns:ds="http://schemas.openxmlformats.org/officeDocument/2006/customXml" ds:itemID="{B0A40CC2-5A58-48CB-9B27-F0A0714A6DF8}">
  <ds:schemaRefs/>
</ds:datastoreItem>
</file>

<file path=customXml/itemProps16.xml><?xml version="1.0" encoding="utf-8"?>
<ds:datastoreItem xmlns:ds="http://schemas.openxmlformats.org/officeDocument/2006/customXml" ds:itemID="{68E6AB19-7F68-4C5C-848E-CAEA36E47BAB}">
  <ds:schemaRefs/>
</ds:datastoreItem>
</file>

<file path=customXml/itemProps17.xml><?xml version="1.0" encoding="utf-8"?>
<ds:datastoreItem xmlns:ds="http://schemas.openxmlformats.org/officeDocument/2006/customXml" ds:itemID="{60EE4E7A-EEA2-466F-AF41-14947281DAE9}">
  <ds:schemaRefs/>
</ds:datastoreItem>
</file>

<file path=customXml/itemProps18.xml><?xml version="1.0" encoding="utf-8"?>
<ds:datastoreItem xmlns:ds="http://schemas.openxmlformats.org/officeDocument/2006/customXml" ds:itemID="{555C6EE4-5DC5-4490-8A3C-F0178F251E8C}">
  <ds:schemaRefs/>
</ds:datastoreItem>
</file>

<file path=customXml/itemProps19.xml><?xml version="1.0" encoding="utf-8"?>
<ds:datastoreItem xmlns:ds="http://schemas.openxmlformats.org/officeDocument/2006/customXml" ds:itemID="{F585DAD9-3763-4164-8CD8-A33A57911AB3}">
  <ds:schemaRefs/>
</ds:datastoreItem>
</file>

<file path=customXml/itemProps20.xml><?xml version="1.0" encoding="utf-8"?>
<ds:datastoreItem xmlns:ds="http://schemas.openxmlformats.org/officeDocument/2006/customXml" ds:itemID="{8CEB082D-799D-4150-AA57-BDCC8BC179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Daily ER no. of Pateint</vt:lpstr>
      <vt:lpstr>Average Wait Time</vt:lpstr>
      <vt:lpstr>Patient Satisfaction Score</vt:lpstr>
      <vt:lpstr>Sheet1</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Yadav</dc:creator>
  <cp:lastModifiedBy>Vikas Yadav</cp:lastModifiedBy>
  <dcterms:created xsi:type="dcterms:W3CDTF">2026-01-30T10:08:08Z</dcterms:created>
  <dcterms:modified xsi:type="dcterms:W3CDTF">2026-01-30T20:03:43Z</dcterms:modified>
</cp:coreProperties>
</file>